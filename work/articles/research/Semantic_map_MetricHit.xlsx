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e84db7c60045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зюме" sheetId="1" r:id="R73c99fdfaa324961"/>
    <x:sheet xmlns:r="http://schemas.openxmlformats.org/officeDocument/2006/relationships" name="Семантика" sheetId="2" r:id="Rd2615051a4304e6f"/>
    <x:sheet xmlns:r="http://schemas.openxmlformats.org/officeDocument/2006/relationships" name="План статей" sheetId="3" r:id="R7ae401e0031849e4"/>
    <x:sheet xmlns:r="http://schemas.openxmlformats.org/officeDocument/2006/relationships" name="Опубликовано" sheetId="4" r:id="Rfbad326ee5984cc6"/>
    <x:sheet xmlns:r="http://schemas.openxmlformats.org/officeDocument/2006/relationships" name="Источники" sheetId="5" r:id="R21b13cc2f23e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10">
    <x:font>
      <x:sz val="11"/>
      <x:name val="Carlito"/>
    </x:font>
    <x:font>
      <x:b/>
      <x:sz val="20"/>
      <x:color rgb="FFFFFFFF"/>
      <x:name val="Carlito"/>
    </x:font>
    <x:font>
      <x:b/>
      <x:sz val="11"/>
      <x:color rgb="FF0B1739"/>
      <x:name val="Carlito"/>
    </x:font>
    <x:font>
      <x:b/>
      <x:sz val="11"/>
      <x:color rgb="FFFFFFFF"/>
      <x:name val="Carlito"/>
    </x:font>
    <x:font>
      <x:sz val="11"/>
      <x:color rgb="FF0B1739"/>
      <x:name val="Carlito"/>
    </x:font>
    <x:font>
      <x:b/>
      <x:sz val="20"/>
      <x:color rgb="FFFFFFFF"/>
      <x:name val="Aptos"/>
    </x:font>
    <x:font>
      <x:sz val="11"/>
      <x:name val="Aptos"/>
    </x:font>
    <x:font>
      <x:b/>
      <x:sz val="11"/>
      <x:color rgb="FF0B1739"/>
      <x:name val="Aptos"/>
    </x:font>
    <x:font>
      <x:b/>
      <x:sz val="11"/>
      <x:color rgb="FFFFFFFF"/>
      <x:name val="Aptos"/>
    </x:font>
    <x:font>
      <x:sz val="11"/>
      <x:color rgb="FF0B1739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B1739"/>
      </x:patternFill>
    </x:fill>
    <x:fill>
      <x:patternFill patternType="solid">
        <x:fgColor rgb="FF14D8E6"/>
      </x:patternFill>
    </x:fill>
    <x:fill>
      <x:patternFill patternType="solid">
        <x:fgColor rgb="FFFF5B5B"/>
      </x:patternFill>
    </x:fill>
    <x:fill>
      <x:patternFill patternType="solid">
        <x:fgColor rgb="FFFFF1F1"/>
      </x:patternFill>
    </x:fill>
    <x:fill>
      <x:patternFill patternType="solid">
        <x:fgColor rgb="FFF8FAFC"/>
      </x:patternFill>
    </x:fill>
    <x:fill>
      <x:patternFill patternType="solid">
        <x:fgColor rgb="FF64748B"/>
      </x:patternFill>
    </x:fill>
    <x:fill>
      <x:patternFill patternType="solid">
        <x:fgColor rgb="FFFFF3C4"/>
      </x:patternFill>
    </x:fill>
  </x:fills>
  <x:borders count="7">
    <x:border/>
    <x:border>
      <x:left style="thin">
        <x:color rgb="FFB7C7D6"/>
      </x:left>
      <x:top style="thin">
        <x:color rgb="FFB7C7D6"/>
      </x:top>
    </x:border>
    <x:border>
      <x:right style="thin">
        <x:color rgb="FFB7C7D6"/>
      </x:right>
      <x:top style="thin">
        <x:color rgb="FFB7C7D6"/>
      </x:top>
    </x:border>
    <x:border>
      <x:left style="thin">
        <x:color rgb="FFB7C7D6"/>
      </x:left>
    </x:border>
    <x:border>
      <x:right style="thin">
        <x:color rgb="FFB7C7D6"/>
      </x:right>
    </x:border>
    <x:border>
      <x:left style="thin">
        <x:color rgb="FFB7C7D6"/>
      </x:left>
      <x:bottom style="thin">
        <x:color rgb="FFB7C7D6"/>
      </x:bottom>
    </x:border>
    <x:border>
      <x:right style="thin">
        <x:color rgb="FFB7C7D6"/>
      </x:right>
      <x:bottom style="thin">
        <x:color rgb="FFB7C7D6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2" xfId="0" applyNumberFormat="1" applyFont="1" applyFill="1" applyBorder="1"/>
    <x:xf numFmtId="0" fontId="8" fillId="4" borderId="0" xfId="0" applyNumberFormat="1" applyFont="1" applyFill="1" applyBorder="1"/>
    <x:xf numFmtId="0" fontId="7" fillId="0" borderId="3" xfId="0" applyNumberFormat="1" applyFont="1" applyFill="1" applyBorder="1"/>
    <x:xf numFmtId="0" fontId="6" fillId="0" borderId="4" xfId="0" applyNumberFormat="1" applyFont="1" applyFill="1" applyBorder="1"/>
    <x:xf numFmtId="0" fontId="9" fillId="5" borderId="0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/>
    <x:xf numFmtId="0" fontId="6" fillId="0" borderId="6" xfId="0" applyNumberFormat="1" applyFont="1" applyFill="1" applyBorder="1"/>
    <x:xf numFmtId="0" fontId="8" fillId="2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6" fillId="8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0" fontId="6" fillId="8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7" fillId="3" borderId="1" xfId="0" applyNumberFormat="1" applyFont="1" applyFill="1" applyBorder="1" applyAlignment="1">
      <x:alignment vertical="top"/>
    </x:xf>
    <x:xf numFmtId="0" fontId="7" fillId="3" borderId="2" xfId="0" applyNumberFormat="1" applyFont="1" applyFill="1" applyBorder="1" applyAlignment="1">
      <x:alignment vertical="top"/>
    </x:xf>
    <x:xf numFmtId="0" fontId="8" fillId="4" borderId="0" xfId="0" applyNumberFormat="1" applyFont="1" applyFill="1" applyBorder="1" applyAlignment="1">
      <x:alignment vertical="top"/>
    </x:xf>
    <x:xf numFmtId="0" fontId="7" fillId="0" borderId="3" xfId="0" applyNumberFormat="1" applyFont="1" applyFill="1" applyBorder="1" applyAlignment="1">
      <x:alignment vertical="top"/>
    </x:xf>
    <x:xf numFmtId="0" fontId="6" fillId="0" borderId="4" xfId="0" applyNumberFormat="1" applyFont="1" applyFill="1" applyBorder="1" applyAlignment="1">
      <x:alignment vertical="top"/>
    </x:xf>
    <x:xf numFmtId="0" fontId="7" fillId="0" borderId="5" xfId="0" applyNumberFormat="1" applyFont="1" applyFill="1" applyBorder="1" applyAlignment="1">
      <x:alignment vertical="top"/>
    </x:xf>
    <x:xf numFmtId="0" fontId="6" fillId="0" borderId="6" xfId="0" applyNumberFormat="1" applyFont="1" applyFill="1" applyBorder="1" applyAlignment="1">
      <x:alignment vertical="top"/>
    </x:xf>
    <x:xf numFmtId="0" fontId="8" fillId="2" borderId="0" xfId="0" applyNumberFormat="1" applyFont="1" applyFill="1" applyBorder="1" applyAlignment="1">
      <x:alignment vertical="top"/>
    </x:xf>
    <x:xf numFmtId="0" fontId="7" fillId="3" borderId="0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/>
    </x:xf>
    <x:xf numFmtId="0" fontId="8" fillId="2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/>
    </x:xf>
    <x:xf numFmtId="0" fontId="6" fillId="8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fd8337b3e4b64" /><Relationship Type="http://schemas.openxmlformats.org/officeDocument/2006/relationships/theme" Target="/xl/theme/theme1.xml" Id="R21f911b4c6514071" /><Relationship Type="http://schemas.openxmlformats.org/officeDocument/2006/relationships/sharedStrings" Target="/xl/sharedStrings.xml" Id="R55233c0c8cd74a99" /><Relationship Type="http://schemas.openxmlformats.org/officeDocument/2006/relationships/worksheet" Target="/xl/worksheets/sheet1.xml" Id="R73c99fdfaa324961" /><Relationship Type="http://schemas.openxmlformats.org/officeDocument/2006/relationships/worksheet" Target="/xl/worksheets/sheet2.xml" Id="Rd2615051a4304e6f" /><Relationship Type="http://schemas.openxmlformats.org/officeDocument/2006/relationships/worksheet" Target="/xl/worksheets/sheet3.xml" Id="R7ae401e0031849e4" /><Relationship Type="http://schemas.openxmlformats.org/officeDocument/2006/relationships/worksheet" Target="/xl/worksheets/sheet4.xml" Id="Rfbad326ee5984cc6" /><Relationship Type="http://schemas.openxmlformats.org/officeDocument/2006/relationships/worksheet" Target="/xl/worksheets/sheet5.xml" Id="R21b13cc2f23e4d95" /></Relationships>
</file>

<file path=xl/tables/table1.xml><?xml version="1.0" encoding="utf-8"?>
<x:table xmlns:x="http://schemas.openxmlformats.org/spreadsheetml/2006/main" id="1" name="KeywordsTable" displayName="KeywordsTable" ref="A1:R101" headerRowCount="1" totalsRowCount="0" totalsRowShown="0">
  <x:tableColumns count="18">
    <x:tableColumn id="1" name="ID"/>
    <x:tableColumn id="2" name="Ключевой запрос"/>
    <x:tableColumn id="3" name="Кластер"/>
    <x:tableColumn id="4" name="Интент"/>
    <x:tableColumn id="5" name="Воронка"/>
    <x:tableColumn id="6" name="Тип страницы"/>
    <x:tableColumn id="7" name="Продуктовая близость (1–5)"/>
    <x:tableColumn id="8" name="Пригодность статьи (1–5)"/>
    <x:tableColumn id="9" name="Конкуренция (1–5)"/>
    <x:tableColumn id="10" name="Шанс отдельного интента (1–5)"/>
    <x:tableColumn id="11" name="Риск формулировок (1–5)"/>
    <x:tableColumn id="12" name="Приоритет (0–100)"/>
    <x:tableColumn id="13" name="Уровень"/>
    <x:tableColumn id="14" name="Статья/кластер"/>
    <x:tableColumn id="15" name="Статус"/>
    <x:tableColumn id="16" name="Частотность Wordstat"/>
    <x:tableColumn id="17" name="Комментарий"/>
    <x:tableColumn id="18" name="Источни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ticlePlanTable" displayName="ArticlePlanTable" ref="A1:J16" headerRowCount="1" totalsRowCount="0" totalsRowShown="0">
  <x:tableColumns count="10">
    <x:tableColumn id="1" name="Код"/>
    <x:tableColumn id="2" name="Площадка"/>
    <x:tableColumn id="3" name="Заголовок"/>
    <x:tableColumn id="4" name="Основной запрос"/>
    <x:tableColumn id="5" name="Дополнительные запросы"/>
    <x:tableColumn id="6" name="Воронка"/>
    <x:tableColumn id="7" name="CTA"/>
    <x:tableColumn id="8" name="Приоритет"/>
    <x:tableColumn id="9" name="Комментарий"/>
    <x:tableColumn id="10" name="Стату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ublishedTable" displayName="PublishedTable" ref="A1:F5" headerRowCount="1" totalsRowCount="0" totalsRowShown="0">
  <x:tableColumns count="6">
    <x:tableColumn id="1" name="Дата"/>
    <x:tableColumn id="2" name="Площадка"/>
    <x:tableColumn id="3" name="Статья"/>
    <x:tableColumn id="4" name="Основной кластер"/>
    <x:tableColumn id="5" name="Ссылка"/>
    <x:tableColumn id="6" name="Стату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1:D10" headerRowCount="1" totalsRowCount="0" totalsRowShown="0">
  <x:tableColumns count="4">
    <x:tableColumn id="1" name="Источник"/>
    <x:tableColumn id="2" name="URL"/>
    <x:tableColumn id="3" name="Как использован"/>
    <x:tableColumn id="4" name="Проверен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7c221026244e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6f699ebfb848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6d575e5ea94d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0e66b522bd4a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56" t="str">
        <x:v>Семантическая карта MetricHit</x:v>
      </x:c>
      <x:c r="B1" s="56"/>
      <x:c r="C1" s="56"/>
      <x:c r="D1" s="56"/>
      <x:c r="E1" s="56"/>
      <x:c r="F1" s="56"/>
      <x:c r="G1" s="56"/>
      <x:c r="H1" s="56"/>
    </x:row>
    <x:row r="2">
      <x:c r="A2" s="56"/>
      <x:c r="B2" s="56"/>
      <x:c r="C2" s="56"/>
      <x:c r="D2" s="56"/>
      <x:c r="E2" s="56"/>
      <x:c r="F2" s="56"/>
      <x:c r="G2" s="56"/>
      <x:c r="H2" s="56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 ht="28" customHeight="1">
      <x:c r="A4" s="58" t="str">
        <x:v>Показатель</x:v>
      </x:c>
      <x:c r="B4" s="59" t="str">
        <x:v>Значение</x:v>
      </x:c>
      <x:c r="C4" s="57"/>
      <x:c r="D4" s="60" t="str">
        <x:v>Главный вывод</x:v>
      </x:c>
      <x:c r="E4" s="60"/>
      <x:c r="F4" s="60"/>
      <x:c r="G4" s="60"/>
      <x:c r="H4" s="60"/>
    </x:row>
    <x:row r="5" ht="28" customHeight="1">
      <x:c r="A5" s="61" t="str">
        <x:v>Запросов в ядре</x:v>
      </x:c>
      <x:c r="B5" s="62" t="n">
        <x:v>100</x:v>
      </x:c>
      <x:c r="C5" s="57"/>
      <x:c r="D5" s="42" t="str">
        <x:v>Основной денежный спрос находится в кластерах «сервис», «накрутка ПФ Яндекс», «цена/бюджет» и «самостоятельный запуск». Workspace уже насыщен широкими статьями о ПФ, поэтому первая публикация должна занять более узкий коммерческий интент: выбор сервиса по модели оплаты, контролю и отчетности.</x:v>
      </x:c>
      <x:c r="E5" s="42"/>
      <x:c r="F5" s="42"/>
      <x:c r="G5" s="42"/>
      <x:c r="H5" s="42"/>
    </x:row>
    <x:row r="6" ht="28" customHeight="1">
      <x:c r="A6" s="61" t="str">
        <x:v>Кластеров</x:v>
      </x:c>
      <x:c r="B6" s="62" t="n">
        <x:v>10</x:v>
      </x:c>
      <x:c r="C6" s="57"/>
      <x:c r="D6" s="42"/>
      <x:c r="E6" s="42"/>
      <x:c r="F6" s="42"/>
      <x:c r="G6" s="42"/>
      <x:c r="H6" s="42"/>
    </x:row>
    <x:row r="7" ht="28" customHeight="1">
      <x:c r="A7" s="61" t="str">
        <x:v>Приоритетных статей</x:v>
      </x:c>
      <x:c r="B7" s="62" t="n">
        <x:v>7</x:v>
      </x:c>
      <x:c r="C7" s="57"/>
      <x:c r="D7" s="42"/>
      <x:c r="E7" s="42"/>
      <x:c r="F7" s="42"/>
      <x:c r="G7" s="42"/>
      <x:c r="H7" s="42"/>
    </x:row>
    <x:row r="8" ht="28" customHeight="1">
      <x:c r="A8" s="63" t="str">
        <x:v>Опубликованных материалов</x:v>
      </x:c>
      <x:c r="B8" s="64" t="n">
        <x:v>4</x:v>
      </x:c>
      <x:c r="C8" s="57"/>
      <x:c r="D8" s="42"/>
      <x:c r="E8" s="42"/>
      <x:c r="F8" s="42"/>
      <x:c r="G8" s="42"/>
      <x:c r="H8" s="42"/>
    </x:row>
    <x:row r="9" ht="28" customHeight="1">
      <x:c r="A9" s="57"/>
      <x:c r="B9" s="57"/>
      <x:c r="C9" s="57"/>
      <x:c r="D9" s="57"/>
      <x:c r="E9" s="57"/>
      <x:c r="F9" s="57"/>
      <x:c r="G9" s="57"/>
      <x:c r="H9" s="57"/>
    </x:row>
    <x:row r="10" ht="28" customHeight="1">
      <x:c r="A10" s="65" t="str">
        <x:v>Приоритет действий</x:v>
      </x:c>
      <x:c r="B10" s="65"/>
      <x:c r="C10" s="65"/>
      <x:c r="D10" s="65"/>
      <x:c r="E10" s="65"/>
      <x:c r="F10" s="65"/>
      <x:c r="G10" s="65"/>
      <x:c r="H10" s="65"/>
    </x:row>
    <x:row r="11" ht="44" customHeight="1">
      <x:c r="A11" s="66" t="str">
        <x:v>1</x:v>
      </x:c>
      <x:c r="B11" s="67" t="str">
        <x:v>Workspace</x:v>
      </x:c>
      <x:c r="C11" s="67" t="str">
        <x:v>Статья A1</x:v>
      </x:c>
      <x:c r="D11" s="67" t="str">
        <x:v>«Сервис накрутки ПФ: как выбрать инструмент по модели оплаты, контролю и отчетности»</x:v>
      </x:c>
      <x:c r="E11" s="67" t="str"/>
      <x:c r="F11" s="67" t="str"/>
      <x:c r="G11" s="67" t="str"/>
      <x:c r="H11" s="67" t="str"/>
    </x:row>
    <x:row r="12" ht="44" customHeight="1">
      <x:c r="A12" s="66" t="str">
        <x:v>2</x:v>
      </x:c>
      <x:c r="B12" s="67" t="str">
        <x:v>Следующая трастовая площадка</x:v>
      </x:c>
      <x:c r="C12" s="67" t="str">
        <x:v>Статья C1</x:v>
      </x:c>
      <x:c r="D12" s="67" t="str">
        <x:v>«Сколько стоит накрутка ПФ и из чего складывается бюджет»</x:v>
      </x:c>
      <x:c r="E12" s="67" t="str"/>
      <x:c r="F12" s="67" t="str"/>
      <x:c r="G12" s="67" t="str"/>
      <x:c r="H12" s="67" t="str"/>
    </x:row>
    <x:row r="13" ht="44" customHeight="1">
      <x:c r="A13" s="66" t="str">
        <x:v>3</x:v>
      </x:c>
      <x:c r="B13" s="67" t="str">
        <x:v>Сильный внешний домен</x:v>
      </x:c>
      <x:c r="C13" s="67" t="str">
        <x:v>Статья B1</x:v>
      </x:c>
      <x:c r="D13" s="67" t="str">
        <x:v>Опорная статья под «накрутка ПФ Яндекс»</x:v>
      </x:c>
      <x:c r="E13" s="67" t="str"/>
      <x:c r="F13" s="67" t="str"/>
      <x:c r="G13" s="67" t="str"/>
      <x:c r="H13" s="67" t="str"/>
    </x:row>
    <x:row r="14" ht="44" customHeight="1">
      <x:c r="A14" s="66" t="str">
        <x:v>4</x:v>
      </x:c>
      <x:c r="B14" s="67" t="str">
        <x:v>После исследования конкурентов</x:v>
      </x:c>
      <x:c r="C14" s="67" t="str">
        <x:v>Статья A2</x:v>
      </x:c>
      <x:c r="D14" s="67" t="str">
        <x:v>Честное сравнение сервисов по проверяемой методике</x:v>
      </x:c>
      <x:c r="E14" s="67" t="str"/>
      <x:c r="F14" s="67" t="str"/>
      <x:c r="G14" s="67" t="str"/>
      <x:c r="H14" s="67" t="str"/>
    </x:row>
    <x:row r="15" ht="44" customHeight="1">
      <x:c r="A15" s="66" t="str">
        <x:v>5</x:v>
      </x:c>
      <x:c r="B15" s="67" t="str">
        <x:v>Постоянно</x:v>
      </x:c>
      <x:c r="C15" s="67" t="str">
        <x:v>Брендовый кластер J1</x:v>
      </x:c>
      <x:c r="D15" s="67" t="str">
        <x:v>Единое описание MetricHit и ссылки на официальных профилях</x:v>
      </x:c>
      <x:c r="E15" s="67" t="str"/>
      <x:c r="F15" s="67" t="str"/>
      <x:c r="G15" s="67" t="str"/>
      <x:c r="H15" s="67" t="str"/>
    </x:row>
    <x:row r="16" ht="44" customHeight="1">
      <x:c r="A16" s="66" t="str">
        <x:v>6</x:v>
      </x:c>
      <x:c r="B16" s="67" t="str">
        <x:v>После получения Wordstat</x:v>
      </x:c>
      <x:c r="C16" s="67" t="str">
        <x:v>Вся карта</x:v>
      </x:c>
      <x:c r="D16" s="67" t="str">
        <x:v>Добавить точную частотность и пересчитать приоритет</x:v>
      </x:c>
      <x:c r="E16" s="67" t="str"/>
      <x:c r="F16" s="67" t="str"/>
      <x:c r="G16" s="67" t="str"/>
      <x:c r="H16" s="67" t="str"/>
    </x:row>
    <x:row r="17" ht="28" customHeight="1">
      <x:c r="A17" s="57"/>
      <x:c r="B17" s="57"/>
      <x:c r="C17" s="57"/>
      <x:c r="D17" s="57"/>
      <x:c r="E17" s="57"/>
      <x:c r="F17" s="57"/>
      <x:c r="G17" s="57"/>
      <x:c r="H17" s="57"/>
    </x:row>
    <x:row r="18" ht="28" customHeight="1">
      <x:c r="A18" s="68" t="str">
        <x:v>Методика и ограничение</x:v>
      </x:c>
      <x:c r="B18" s="68"/>
      <x:c r="C18" s="68"/>
      <x:c r="D18" s="68"/>
      <x:c r="E18" s="68"/>
      <x:c r="F18" s="68"/>
      <x:c r="G18" s="68"/>
      <x:c r="H18" s="68"/>
    </x:row>
    <x:row r="19" ht="28" customHeight="1">
      <x:c r="A19" s="49" t="str">
        <x:v>Приоритет рассчитан качественно: продуктовая близость, пригодность для статьи, шанс занять отдельный интент на трастовой площадке, текущая конкуренция и риск формулировок. Точная частотность не моделировалась и не выдумывалась. Для финального медиаплана нужен экспорт Яндекс Wordstat по России; после него столбец «Частотность Wordstat» можно заполнить и добавить вес спроса.</x:v>
      </x:c>
      <x:c r="B19" s="49"/>
      <x:c r="C19" s="49"/>
      <x:c r="D19" s="49"/>
      <x:c r="E19" s="49"/>
      <x:c r="F19" s="49"/>
      <x:c r="G19" s="49"/>
      <x:c r="H19" s="49"/>
    </x:row>
    <x:row r="20" ht="28" customHeight="1">
      <x:c r="A20" s="49"/>
      <x:c r="B20" s="49"/>
      <x:c r="C20" s="49"/>
      <x:c r="D20" s="49"/>
      <x:c r="E20" s="49"/>
      <x:c r="F20" s="49"/>
      <x:c r="G20" s="49"/>
      <x:c r="H20" s="49"/>
    </x:row>
    <x:row r="21" ht="28" customHeight="1">
      <x:c r="A21" s="49"/>
      <x:c r="B21" s="49"/>
      <x:c r="C21" s="49"/>
      <x:c r="D21" s="49"/>
      <x:c r="E21" s="49"/>
      <x:c r="F21" s="49"/>
      <x:c r="G21" s="49"/>
      <x:c r="H21" s="49"/>
    </x:row>
    <x:row r="22" ht="28" customHeight="1">
      <x:c r="A22" s="49"/>
      <x:c r="B22" s="49"/>
      <x:c r="C22" s="49"/>
      <x:c r="D22" s="49"/>
      <x:c r="E22" s="49"/>
      <x:c r="F22" s="49"/>
      <x:c r="G22" s="49"/>
      <x:c r="H22" s="49"/>
    </x:row>
  </x:sheetData>
  <x:mergeCells>
    <x:mergeCell ref="A1:H2"/>
    <x:mergeCell ref="D4:H4"/>
    <x:mergeCell ref="D5:H8"/>
    <x:mergeCell ref="A10:H10"/>
    <x:mergeCell ref="D11:H11"/>
    <x:mergeCell ref="D12:H12"/>
    <x:mergeCell ref="D13:H13"/>
    <x:mergeCell ref="D14:H14"/>
    <x:mergeCell ref="D15:H15"/>
    <x:mergeCell ref="D16:H16"/>
    <x:mergeCell ref="A18:H18"/>
    <x:mergeCell ref="A19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12" hidden="0" customWidth="1"/>
    <x:col min="14" max="14" width="17" hidden="0" customWidth="1"/>
    <x:col min="15" max="15" width="17" hidden="0" customWidth="1"/>
    <x:col min="16" max="16" width="17" hidden="0" customWidth="1"/>
    <x:col min="17" max="17" width="42" hidden="0" customWidth="1"/>
    <x:col min="18" max="18" width="34" hidden="0" customWidth="1"/>
  </x:cols>
  <x:sheetData>
    <x:row r="1">
      <x:c r="A1" s="69" t="str">
        <x:v>ID</x:v>
      </x:c>
      <x:c r="B1" s="69" t="str">
        <x:v>Ключевой запрос</x:v>
      </x:c>
      <x:c r="C1" s="69" t="str">
        <x:v>Кластер</x:v>
      </x:c>
      <x:c r="D1" s="69" t="str">
        <x:v>Интент</x:v>
      </x:c>
      <x:c r="E1" s="69" t="str">
        <x:v>Воронка</x:v>
      </x:c>
      <x:c r="F1" s="69" t="str">
        <x:v>Тип страницы</x:v>
      </x:c>
      <x:c r="G1" s="69" t="str">
        <x:v>Продуктовая близость (1–5)</x:v>
      </x:c>
      <x:c r="H1" s="69" t="str">
        <x:v>Пригодность статьи (1–5)</x:v>
      </x:c>
      <x:c r="I1" s="69" t="str">
        <x:v>Конкуренция (1–5)</x:v>
      </x:c>
      <x:c r="J1" s="69" t="str">
        <x:v>Шанс отдельного интента (1–5)</x:v>
      </x:c>
      <x:c r="K1" s="69" t="str">
        <x:v>Риск формулировок (1–5)</x:v>
      </x:c>
      <x:c r="L1" s="69" t="str">
        <x:v>Приоритет (0–100)</x:v>
      </x:c>
      <x:c r="M1" s="69" t="str">
        <x:v>Уровень</x:v>
      </x:c>
      <x:c r="N1" s="69" t="str">
        <x:v>Статья/кластер</x:v>
      </x:c>
      <x:c r="O1" s="69" t="str">
        <x:v>Статус</x:v>
      </x:c>
      <x:c r="P1" s="69" t="str">
        <x:v>Частотность Wordstat</x:v>
      </x:c>
      <x:c r="Q1" s="69" t="str">
        <x:v>Комментарий</x:v>
      </x:c>
      <x:c r="R1" s="69" t="str">
        <x:v>Источник</x:v>
      </x:c>
    </x:row>
    <x:row r="2">
      <x:c r="A2" s="57" t="n">
        <x:v>1</x:v>
      </x:c>
      <x:c r="B2" s="70" t="str">
        <x:v>сервис накрутки поведенческих факторов</x:v>
      </x:c>
      <x:c r="C2" s="70" t="str">
        <x:v>Сервис / выбор</x:v>
      </x:c>
      <x:c r="D2" s="70" t="str">
        <x:v>Коммерческий</x:v>
      </x:c>
      <x:c r="E2" s="70" t="str">
        <x:v>BOFU</x:v>
      </x:c>
      <x:c r="F2" s="70" t="str">
        <x:v>Сравнение/обзор</x:v>
      </x:c>
      <x:c r="G2" s="71" t="n">
        <x:v>5</x:v>
      </x:c>
      <x:c r="H2" s="71" t="n">
        <x:v>5</x:v>
      </x:c>
      <x:c r="I2" s="71" t="n">
        <x:v>5</x:v>
      </x:c>
      <x:c r="J2" s="71" t="n">
        <x:v>4</x:v>
      </x:c>
      <x:c r="K2" s="71" t="n">
        <x:v>4</x:v>
      </x:c>
      <x:c r="L2" s="71" t="n">
        <x:f>G2*6+H2*4+J2*4+(6-I2)*4+(6-K2)*2</x:f>
        <x:v>74</x:v>
      </x:c>
      <x:c r="M2" s="57" t="str">
        <x:f>IF(L2&gt;=80,"P1",IF(L2&gt;=65,"P2","P3"))</x:f>
        <x:v>P2</x:v>
      </x:c>
      <x:c r="N2" s="57" t="str">
        <x:v>A1</x:v>
      </x:c>
      <x:c r="O2" s="57" t="str">
        <x:v>В очереди</x:v>
      </x:c>
      <x:c r="P2" s="72" t="str"/>
      <x:c r="Q2" s="70" t="str">
        <x:v>Главный коммерческий кластер; нужна доказательная и аккуратная подача</x:v>
      </x:c>
      <x:c r="R2" s="70" t="str">
        <x:v>https://partnerkin.com/services/c/servisy-dlya-nakrutki-povedencheskikh-faktorov</x:v>
      </x:c>
    </x:row>
    <x:row r="3">
      <x:c r="A3" s="57" t="n">
        <x:v>2</x:v>
      </x:c>
      <x:c r="B3" s="70" t="str">
        <x:v>сервис накрутки пф</x:v>
      </x:c>
      <x:c r="C3" s="70" t="str">
        <x:v>Сервис / выбор</x:v>
      </x:c>
      <x:c r="D3" s="70" t="str">
        <x:v>Коммерческий</x:v>
      </x:c>
      <x:c r="E3" s="70" t="str">
        <x:v>BOFU</x:v>
      </x:c>
      <x:c r="F3" s="70" t="str">
        <x:v>Сравнение/обзор</x:v>
      </x:c>
      <x:c r="G3" s="71" t="n">
        <x:v>5</x:v>
      </x:c>
      <x:c r="H3" s="71" t="n">
        <x:v>5</x:v>
      </x:c>
      <x:c r="I3" s="71" t="n">
        <x:v>5</x:v>
      </x:c>
      <x:c r="J3" s="71" t="n">
        <x:v>4</x:v>
      </x:c>
      <x:c r="K3" s="71" t="n">
        <x:v>4</x:v>
      </x:c>
      <x:c r="L3" s="71" t="n">
        <x:f>G3*6+H3*4+J3*4+(6-I3)*4+(6-K3)*2</x:f>
        <x:v>74</x:v>
      </x:c>
      <x:c r="M3" s="57" t="str">
        <x:f>IF(L3&gt;=80,"P1",IF(L3&gt;=65,"P2","P3"))</x:f>
        <x:v>P2</x:v>
      </x:c>
      <x:c r="N3" s="57" t="str">
        <x:v>A1</x:v>
      </x:c>
      <x:c r="O3" s="57" t="str">
        <x:v>В очереди</x:v>
      </x:c>
      <x:c r="P3" s="72" t="str"/>
      <x:c r="Q3" s="70" t="str">
        <x:v>Короткая высокорелевантная форма</x:v>
      </x:c>
      <x:c r="R3" s="70" t="str">
        <x:v>https://partnerkin.com/services/c/servisy-dlya-nakrutki-povedencheskikh-faktorov</x:v>
      </x:c>
    </x:row>
    <x:row r="4">
      <x:c r="A4" s="57" t="n">
        <x:v>3</x:v>
      </x:c>
      <x:c r="B4" s="70" t="str">
        <x:v>сервис поведенческих факторов</x:v>
      </x:c>
      <x:c r="C4" s="70" t="str">
        <x:v>Сервис / выбор</x:v>
      </x:c>
      <x:c r="D4" s="70" t="str">
        <x:v>Коммерческий</x:v>
      </x:c>
      <x:c r="E4" s="70" t="str">
        <x:v>BOFU</x:v>
      </x:c>
      <x:c r="F4" s="70" t="str">
        <x:v>Сравнение/обзор</x:v>
      </x:c>
      <x:c r="G4" s="71" t="n">
        <x:v>5</x:v>
      </x:c>
      <x:c r="H4" s="71" t="n">
        <x:v>5</x:v>
      </x:c>
      <x:c r="I4" s="71" t="n">
        <x:v>4</x:v>
      </x:c>
      <x:c r="J4" s="71" t="n">
        <x:v>4</x:v>
      </x:c>
      <x:c r="K4" s="71" t="n">
        <x:v>3</x:v>
      </x:c>
      <x:c r="L4" s="71" t="n">
        <x:f>G4*6+H4*4+J4*4+(6-I4)*4+(6-K4)*2</x:f>
        <x:v>80</x:v>
      </x:c>
      <x:c r="M4" s="57" t="str">
        <x:f>IF(L4&gt;=80,"P1",IF(L4&gt;=65,"P2","P3"))</x:f>
        <x:v>P1</x:v>
      </x:c>
      <x:c r="N4" s="57" t="str">
        <x:v>A1</x:v>
      </x:c>
      <x:c r="O4" s="57" t="str">
        <x:v>В очереди</x:v>
      </x:c>
      <x:c r="P4" s="72" t="str"/>
      <x:c r="Q4" s="70" t="str">
        <x:v>Можно использовать без слова «накрутка»</x:v>
      </x:c>
      <x:c r="R4" s="70" t="str">
        <x:v>https://seo-robots.ru/</x:v>
      </x:c>
    </x:row>
    <x:row r="5">
      <x:c r="A5" s="57" t="n">
        <x:v>4</x:v>
      </x:c>
      <x:c r="B5" s="70" t="str">
        <x:v>сервисы для накрутки пф</x:v>
      </x:c>
      <x:c r="C5" s="70" t="str">
        <x:v>Сервис / выбор</x:v>
      </x:c>
      <x:c r="D5" s="70" t="str">
        <x:v>Коммерческий</x:v>
      </x:c>
      <x:c r="E5" s="70" t="str">
        <x:v>BOFU</x:v>
      </x:c>
      <x:c r="F5" s="70" t="str">
        <x:v>Рейтинг/сравнение</x:v>
      </x:c>
      <x:c r="G5" s="71" t="n">
        <x:v>5</x:v>
      </x:c>
      <x:c r="H5" s="71" t="n">
        <x:v>5</x:v>
      </x:c>
      <x:c r="I5" s="71" t="n">
        <x:v>5</x:v>
      </x:c>
      <x:c r="J5" s="71" t="n">
        <x:v>4</x:v>
      </x:c>
      <x:c r="K5" s="71" t="n">
        <x:v>4</x:v>
      </x:c>
      <x:c r="L5" s="71" t="n">
        <x:f>G5*6+H5*4+J5*4+(6-I5)*4+(6-K5)*2</x:f>
        <x:v>74</x:v>
      </x:c>
      <x:c r="M5" s="57" t="str">
        <x:f>IF(L5&gt;=80,"P1",IF(L5&gt;=65,"P2","P3"))</x:f>
        <x:v>P2</x:v>
      </x:c>
      <x:c r="N5" s="57" t="str">
        <x:v>A2</x:v>
      </x:c>
      <x:c r="O5" s="57" t="str">
        <x:v>В очереди</x:v>
      </x:c>
      <x:c r="P5" s="72" t="str"/>
      <x:c r="Q5" s="70" t="str">
        <x:v>Выдача занята рейтингами; нужен прозрачный метод сравнения</x:v>
      </x:c>
      <x:c r="R5" s="70" t="str">
        <x:v>https://partnerkin.com/services/c/servisy-dlya-nakrutki-povedencheskikh-faktorov</x:v>
      </x:c>
    </x:row>
    <x:row r="6">
      <x:c r="A6" s="57" t="n">
        <x:v>5</x:v>
      </x:c>
      <x:c r="B6" s="70" t="str">
        <x:v>сервисы накрутки поведенческих факторов яндекс</x:v>
      </x:c>
      <x:c r="C6" s="70" t="str">
        <x:v>Сервис / выбор</x:v>
      </x:c>
      <x:c r="D6" s="70" t="str">
        <x:v>Коммерческий</x:v>
      </x:c>
      <x:c r="E6" s="70" t="str">
        <x:v>BOFU</x:v>
      </x:c>
      <x:c r="F6" s="70" t="str">
        <x:v>Рейтинг/сравнение</x:v>
      </x:c>
      <x:c r="G6" s="71" t="n">
        <x:v>5</x:v>
      </x:c>
      <x:c r="H6" s="71" t="n">
        <x:v>5</x:v>
      </x:c>
      <x:c r="I6" s="71" t="n">
        <x:v>5</x:v>
      </x:c>
      <x:c r="J6" s="71" t="n">
        <x:v>4</x:v>
      </x:c>
      <x:c r="K6" s="71" t="n">
        <x:v>4</x:v>
      </x:c>
      <x:c r="L6" s="71" t="n">
        <x:f>G6*6+H6*4+J6*4+(6-I6)*4+(6-K6)*2</x:f>
        <x:v>74</x:v>
      </x:c>
      <x:c r="M6" s="57" t="str">
        <x:f>IF(L6&gt;=80,"P1",IF(L6&gt;=65,"P2","P3"))</x:f>
        <x:v>P2</x:v>
      </x:c>
      <x:c r="N6" s="57" t="str">
        <x:v>A2</x:v>
      </x:c>
      <x:c r="O6" s="57" t="str">
        <x:v>В очереди</x:v>
      </x:c>
      <x:c r="P6" s="72" t="str"/>
      <x:c r="Q6" s="70" t="str">
        <x:v>Сильная близость к продукту</x:v>
      </x:c>
      <x:c r="R6" s="70" t="str">
        <x:v>https://partnerkin.com/services/c/servisy-dlya-nakrutki-povedencheskikh-faktorov</x:v>
      </x:c>
    </x:row>
    <x:row r="7">
      <x:c r="A7" s="57" t="n">
        <x:v>6</x:v>
      </x:c>
      <x:c r="B7" s="70" t="str">
        <x:v>лучший сервис накрутки пф</x:v>
      </x:c>
      <x:c r="C7" s="70" t="str">
        <x:v>Сервис / выбор</x:v>
      </x:c>
      <x:c r="D7" s="70" t="str">
        <x:v>Коммерческий</x:v>
      </x:c>
      <x:c r="E7" s="70" t="str">
        <x:v>BOFU</x:v>
      </x:c>
      <x:c r="F7" s="70" t="str">
        <x:v>Рейтинг/сравнение</x:v>
      </x:c>
      <x:c r="G7" s="71" t="n">
        <x:v>5</x:v>
      </x:c>
      <x:c r="H7" s="71" t="n">
        <x:v>5</x:v>
      </x:c>
      <x:c r="I7" s="71" t="n">
        <x:v>5</x:v>
      </x:c>
      <x:c r="J7" s="71" t="n">
        <x:v>4</x:v>
      </x:c>
      <x:c r="K7" s="71" t="n">
        <x:v>5</x:v>
      </x:c>
      <x:c r="L7" s="71" t="n">
        <x:f>G7*6+H7*4+J7*4+(6-I7)*4+(6-K7)*2</x:f>
        <x:v>72</x:v>
      </x:c>
      <x:c r="M7" s="57" t="str">
        <x:f>IF(L7&gt;=80,"P1",IF(L7&gt;=65,"P2","P3"))</x:f>
        <x:v>P2</x:v>
      </x:c>
      <x:c r="N7" s="57" t="str">
        <x:v>A2</x:v>
      </x:c>
      <x:c r="O7" s="57" t="str">
        <x:v>В очереди</x:v>
      </x:c>
      <x:c r="P7" s="72" t="str"/>
      <x:c r="Q7" s="70" t="str">
        <x:v>Нельзя бездоказательно объявлять MetricHit лучшим</x:v>
      </x:c>
      <x:c r="R7" s="70" t="str">
        <x:v>https://partnerkin.com/services/c/servisy-dlya-nakrutki-povedencheskikh-faktorov</x:v>
      </x:c>
    </x:row>
    <x:row r="8">
      <x:c r="A8" s="57" t="n">
        <x:v>7</x:v>
      </x:c>
      <x:c r="B8" s="70" t="str">
        <x:v>рейтинг сервисов накрутки пф</x:v>
      </x:c>
      <x:c r="C8" s="70" t="str">
        <x:v>Сервис / выбор</x:v>
      </x:c>
      <x:c r="D8" s="70" t="str">
        <x:v>Коммерческий</x:v>
      </x:c>
      <x:c r="E8" s="70" t="str">
        <x:v>BOFU</x:v>
      </x:c>
      <x:c r="F8" s="70" t="str">
        <x:v>Рейтинг/сравнение</x:v>
      </x:c>
      <x:c r="G8" s="71" t="n">
        <x:v>5</x:v>
      </x:c>
      <x:c r="H8" s="71" t="n">
        <x:v>5</x:v>
      </x:c>
      <x:c r="I8" s="71" t="n">
        <x:v>5</x:v>
      </x:c>
      <x:c r="J8" s="71" t="n">
        <x:v>4</x:v>
      </x:c>
      <x:c r="K8" s="71" t="n">
        <x:v>5</x:v>
      </x:c>
      <x:c r="L8" s="71" t="n">
        <x:f>G8*6+H8*4+J8*4+(6-I8)*4+(6-K8)*2</x:f>
        <x:v>72</x:v>
      </x:c>
      <x:c r="M8" s="57" t="str">
        <x:f>IF(L8&gt;=80,"P1",IF(L8&gt;=65,"P2","P3"))</x:f>
        <x:v>P2</x:v>
      </x:c>
      <x:c r="N8" s="57" t="str">
        <x:v>A2</x:v>
      </x:c>
      <x:c r="O8" s="57" t="str">
        <x:v>В очереди</x:v>
      </x:c>
      <x:c r="P8" s="72" t="str"/>
      <x:c r="Q8" s="70" t="str">
        <x:v>Требуется реальная методика и проверяемые критерии</x:v>
      </x:c>
      <x:c r="R8" s="70" t="str">
        <x:v>https://workspace.ru/blog/top-servisy-dlya-nakrutki-pf-v-2026-godu/</x:v>
      </x:c>
    </x:row>
    <x:row r="9">
      <x:c r="A9" s="57" t="n">
        <x:v>8</x:v>
      </x:c>
      <x:c r="B9" s="70" t="str">
        <x:v>сервис накрутки пф бесплатно</x:v>
      </x:c>
      <x:c r="C9" s="70" t="str">
        <x:v>Сервис / выбор</x:v>
      </x:c>
      <x:c r="D9" s="70" t="str">
        <x:v>Коммерческий</x:v>
      </x:c>
      <x:c r="E9" s="70" t="str">
        <x:v>BOFU</x:v>
      </x:c>
      <x:c r="F9" s="70" t="str">
        <x:v>Обзор с тестом</x:v>
      </x:c>
      <x:c r="G9" s="71" t="n">
        <x:v>5</x:v>
      </x:c>
      <x:c r="H9" s="71" t="n">
        <x:v>4</x:v>
      </x:c>
      <x:c r="I9" s="71" t="n">
        <x:v>4</x:v>
      </x:c>
      <x:c r="J9" s="71" t="n">
        <x:v>4</x:v>
      </x:c>
      <x:c r="K9" s="71" t="n">
        <x:v>4</x:v>
      </x:c>
      <x:c r="L9" s="71" t="n">
        <x:f>G9*6+H9*4+J9*4+(6-I9)*4+(6-K9)*2</x:f>
        <x:v>74</x:v>
      </x:c>
      <x:c r="M9" s="57" t="str">
        <x:f>IF(L9&gt;=80,"P1",IF(L9&gt;=65,"P2","P3"))</x:f>
        <x:v>P2</x:v>
      </x:c>
      <x:c r="N9" s="57" t="str">
        <x:v>A3</x:v>
      </x:c>
      <x:c r="O9" s="57" t="str">
        <x:v>В очереди</x:v>
      </x:c>
      <x:c r="P9" s="72" t="str"/>
      <x:c r="Q9" s="70" t="str">
        <x:v>Подходит бонус 1000 кликов, но механика только через поддержку</x:v>
      </x:c>
      <x:c r="R9" s="70" t="str">
        <x:v>https://partnerkin.com/services/c/servisy-dlya-nakrutki-povedencheskikh-faktorov</x:v>
      </x:c>
    </x:row>
    <x:row r="10">
      <x:c r="A10" s="57" t="n">
        <x:v>9</x:v>
      </x:c>
      <x:c r="B10" s="70" t="str">
        <x:v>тест сервиса накрутки пф</x:v>
      </x:c>
      <x:c r="C10" s="70" t="str">
        <x:v>Сервис / выбор</x:v>
      </x:c>
      <x:c r="D10" s="70" t="str">
        <x:v>Коммерческий</x:v>
      </x:c>
      <x:c r="E10" s="70" t="str">
        <x:v>BOFU</x:v>
      </x:c>
      <x:c r="F10" s="70" t="str">
        <x:v>Эксперимент/обзор</x:v>
      </x:c>
      <x:c r="G10" s="71" t="n">
        <x:v>5</x:v>
      </x:c>
      <x:c r="H10" s="71" t="n">
        <x:v>5</x:v>
      </x:c>
      <x:c r="I10" s="71" t="n">
        <x:v>4</x:v>
      </x:c>
      <x:c r="J10" s="71" t="n">
        <x:v>4</x:v>
      </x:c>
      <x:c r="K10" s="71" t="n">
        <x:v>4</x:v>
      </x:c>
      <x:c r="L10" s="71" t="n">
        <x:f>G10*6+H10*4+J10*4+(6-I10)*4+(6-K10)*2</x:f>
        <x:v>78</x:v>
      </x:c>
      <x:c r="M10" s="57" t="str">
        <x:f>IF(L10&gt;=80,"P1",IF(L10&gt;=65,"P2","P3"))</x:f>
        <x:v>P2</x:v>
      </x:c>
      <x:c r="N10" s="57" t="str">
        <x:v>A3</x:v>
      </x:c>
      <x:c r="O10" s="57" t="str">
        <x:v>В очереди</x:v>
      </x:c>
      <x:c r="P10" s="72" t="str"/>
      <x:c r="Q10" s="70" t="str">
        <x:v>Нужны исходные данные и прозрачный протокол теста</x:v>
      </x:c>
      <x:c r="R10" s="70" t="str">
        <x:v>https://partnerkin.com/services/c/servisy-dlya-nakrutki-povedencheskikh-faktorov</x:v>
      </x:c>
    </x:row>
    <x:row r="11">
      <x:c r="A11" s="57" t="n">
        <x:v>10</x:v>
      </x:c>
      <x:c r="B11" s="70" t="str">
        <x:v>сервис пф для seo специалистов</x:v>
      </x:c>
      <x:c r="C11" s="70" t="str">
        <x:v>Сервис / выбор</x:v>
      </x:c>
      <x:c r="D11" s="70" t="str">
        <x:v>Коммерческий</x:v>
      </x:c>
      <x:c r="E11" s="70" t="str">
        <x:v>BOFU</x:v>
      </x:c>
      <x:c r="F11" s="70" t="str">
        <x:v>Обзор для специалистов</x:v>
      </x:c>
      <x:c r="G11" s="71" t="n">
        <x:v>5</x:v>
      </x:c>
      <x:c r="H11" s="71" t="n">
        <x:v>5</x:v>
      </x:c>
      <x:c r="I11" s="71" t="n">
        <x:v>3</x:v>
      </x:c>
      <x:c r="J11" s="71" t="n">
        <x:v>5</x:v>
      </x:c>
      <x:c r="K11" s="71" t="n">
        <x:v>3</x:v>
      </x:c>
      <x:c r="L11" s="71" t="n">
        <x:f>G11*6+H11*4+J11*4+(6-I11)*4+(6-K11)*2</x:f>
        <x:v>88</x:v>
      </x:c>
      <x:c r="M11" s="57" t="str">
        <x:f>IF(L11&gt;=80,"P1",IF(L11&gt;=65,"P2","P3"))</x:f>
        <x:v>P1</x:v>
      </x:c>
      <x:c r="N11" s="57" t="str">
        <x:v>A4</x:v>
      </x:c>
      <x:c r="O11" s="57" t="str">
        <x:v>В очереди</x:v>
      </x:c>
      <x:c r="P11" s="72" t="str"/>
      <x:c r="Q11" s="70" t="str">
        <x:v>Сильный узкий кластер для Workspace</x:v>
      </x:c>
      <x:c r="R11" s="70" t="str">
        <x:v>https://workspace.ru/blog/top-servisy-dlya-nakrutki-pf-v-2026-godu/</x:v>
      </x:c>
    </x:row>
    <x:row r="12">
      <x:c r="A12" s="57" t="n">
        <x:v>11</x:v>
      </x:c>
      <x:c r="B12" s="70" t="str">
        <x:v>сервис пф для агентств</x:v>
      </x:c>
      <x:c r="C12" s="70" t="str">
        <x:v>Сервис / выбор</x:v>
      </x:c>
      <x:c r="D12" s="70" t="str">
        <x:v>Коммерческий</x:v>
      </x:c>
      <x:c r="E12" s="70" t="str">
        <x:v>BOFU</x:v>
      </x:c>
      <x:c r="F12" s="70" t="str">
        <x:v>Обзор для агентств</x:v>
      </x:c>
      <x:c r="G12" s="71" t="n">
        <x:v>5</x:v>
      </x:c>
      <x:c r="H12" s="71" t="n">
        <x:v>5</x:v>
      </x:c>
      <x:c r="I12" s="71" t="n">
        <x:v>3</x:v>
      </x:c>
      <x:c r="J12" s="71" t="n">
        <x:v>5</x:v>
      </x:c>
      <x:c r="K12" s="71" t="n">
        <x:v>3</x:v>
      </x:c>
      <x:c r="L12" s="71" t="n">
        <x:f>G12*6+H12*4+J12*4+(6-I12)*4+(6-K12)*2</x:f>
        <x:v>88</x:v>
      </x:c>
      <x:c r="M12" s="57" t="str">
        <x:f>IF(L12&gt;=80,"P1",IF(L12&gt;=65,"P2","P3"))</x:f>
        <x:v>P1</x:v>
      </x:c>
      <x:c r="N12" s="57" t="str">
        <x:v>A4</x:v>
      </x:c>
      <x:c r="O12" s="57" t="str">
        <x:v>В очереди</x:v>
      </x:c>
      <x:c r="P12" s="72" t="str"/>
      <x:c r="Q12" s="70" t="str">
        <x:v>Показать мультипроектность и индивидуальные условия</x:v>
      </x:c>
      <x:c r="R12" s="70" t="str">
        <x:v>https://workspace.ru/blog/top-servisy-dlya-nakrutki-pf-v-2026-godu/</x:v>
      </x:c>
    </x:row>
    <x:row r="13">
      <x:c r="A13" s="57" t="n">
        <x:v>12</x:v>
      </x:c>
      <x:c r="B13" s="70" t="str">
        <x:v>сервис пф для нескольких сайтов</x:v>
      </x:c>
      <x:c r="C13" s="70" t="str">
        <x:v>Сервис / выбор</x:v>
      </x:c>
      <x:c r="D13" s="70" t="str">
        <x:v>Коммерческий</x:v>
      </x:c>
      <x:c r="E13" s="70" t="str">
        <x:v>BOFU</x:v>
      </x:c>
      <x:c r="F13" s="70" t="str">
        <x:v>Практический обзор</x:v>
      </x:c>
      <x:c r="G13" s="71" t="n">
        <x:v>5</x:v>
      </x:c>
      <x:c r="H13" s="71" t="n">
        <x:v>5</x:v>
      </x:c>
      <x:c r="I13" s="71" t="n">
        <x:v>2</x:v>
      </x:c>
      <x:c r="J13" s="71" t="n">
        <x:v>5</x:v>
      </x:c>
      <x:c r="K13" s="71" t="n">
        <x:v>3</x:v>
      </x:c>
      <x:c r="L13" s="71" t="n">
        <x:f>G13*6+H13*4+J13*4+(6-I13)*4+(6-K13)*2</x:f>
        <x:v>92</x:v>
      </x:c>
      <x:c r="M13" s="57" t="str">
        <x:f>IF(L13&gt;=80,"P1",IF(L13&gt;=65,"P2","P3"))</x:f>
        <x:v>P1</x:v>
      </x:c>
      <x:c r="N13" s="57" t="str">
        <x:v>A4</x:v>
      </x:c>
      <x:c r="O13" s="57" t="str">
        <x:v>В очереди</x:v>
      </x:c>
      <x:c r="P13" s="72" t="str"/>
      <x:c r="Q13" s="70" t="str">
        <x:v>Низкая вероятная частотность, но высокая ценность лида</x:v>
      </x:c>
      <x:c r="R13" s="70" t="str">
        <x:v>https://workspace.ru/blog/top-servisy-dlya-nakrutki-pf-v-2026-godu/</x:v>
      </x:c>
    </x:row>
    <x:row r="14">
      <x:c r="A14" s="57" t="n">
        <x:v>13</x:v>
      </x:c>
      <x:c r="B14" s="70" t="str">
        <x:v>накрутка пф яндекс</x:v>
      </x:c>
      <x:c r="C14" s="70" t="str">
        <x:v>Основной коммерческий</x:v>
      </x:c>
      <x:c r="D14" s="70" t="str">
        <x:v>Коммерческий</x:v>
      </x:c>
      <x:c r="E14" s="70" t="str">
        <x:v>BOFU</x:v>
      </x:c>
      <x:c r="F14" s="70" t="str">
        <x:v>Экспертная посадочная</x:v>
      </x:c>
      <x:c r="G14" s="71" t="n">
        <x:v>5</x:v>
      </x:c>
      <x:c r="H14" s="71" t="n">
        <x:v>5</x:v>
      </x:c>
      <x:c r="I14" s="71" t="n">
        <x:v>5</x:v>
      </x:c>
      <x:c r="J14" s="71" t="n">
        <x:v>4</x:v>
      </x:c>
      <x:c r="K14" s="71" t="n">
        <x:v>5</x:v>
      </x:c>
      <x:c r="L14" s="71" t="n">
        <x:f>G14*6+H14*4+J14*4+(6-I14)*4+(6-K14)*2</x:f>
        <x:v>72</x:v>
      </x:c>
      <x:c r="M14" s="57" t="str">
        <x:f>IF(L14&gt;=80,"P1",IF(L14&gt;=65,"P2","P3"))</x:f>
        <x:v>P2</x:v>
      </x:c>
      <x:c r="N14" s="57" t="str">
        <x:v>B1</x:v>
      </x:c>
      <x:c r="O14" s="57" t="str">
        <x:v>В очереди</x:v>
      </x:c>
      <x:c r="P14" s="72" t="str"/>
      <x:c r="Q14" s="70" t="str">
        <x:v>Ключевой кластер; высокая конкуренция и чувствительность</x:v>
      </x:c>
      <x:c r="R14" s="70" t="str">
        <x:v>https://seo-robots.ru/</x:v>
      </x:c>
    </x:row>
    <x:row r="15">
      <x:c r="A15" s="57" t="n">
        <x:v>14</x:v>
      </x:c>
      <x:c r="B15" s="70" t="str">
        <x:v>накрутка поведенческих факторов яндекс</x:v>
      </x:c>
      <x:c r="C15" s="70" t="str">
        <x:v>Основной коммерческий</x:v>
      </x:c>
      <x:c r="D15" s="70" t="str">
        <x:v>Коммерческий</x:v>
      </x:c>
      <x:c r="E15" s="70" t="str">
        <x:v>BOFU</x:v>
      </x:c>
      <x:c r="F15" s="70" t="str">
        <x:v>Экспертная посадочная</x:v>
      </x:c>
      <x:c r="G15" s="71" t="n">
        <x:v>5</x:v>
      </x:c>
      <x:c r="H15" s="71" t="n">
        <x:v>5</x:v>
      </x:c>
      <x:c r="I15" s="71" t="n">
        <x:v>5</x:v>
      </x:c>
      <x:c r="J15" s="71" t="n">
        <x:v>4</x:v>
      </x:c>
      <x:c r="K15" s="71" t="n">
        <x:v>5</x:v>
      </x:c>
      <x:c r="L15" s="71" t="n">
        <x:f>G15*6+H15*4+J15*4+(6-I15)*4+(6-K15)*2</x:f>
        <x:v>72</x:v>
      </x:c>
      <x:c r="M15" s="57" t="str">
        <x:f>IF(L15&gt;=80,"P1",IF(L15&gt;=65,"P2","P3"))</x:f>
        <x:v>P2</x:v>
      </x:c>
      <x:c r="N15" s="57" t="str">
        <x:v>B1</x:v>
      </x:c>
      <x:c r="O15" s="57" t="str">
        <x:v>В очереди</x:v>
      </x:c>
      <x:c r="P15" s="72" t="str"/>
      <x:c r="Q15" s="70" t="str">
        <x:v>Полная форма ключа</x:v>
      </x:c>
      <x:c r="R15" s="70" t="str">
        <x:v>https://seo-robots.ru/</x:v>
      </x:c>
    </x:row>
    <x:row r="16">
      <x:c r="A16" s="57" t="n">
        <x:v>15</x:v>
      </x:c>
      <x:c r="B16" s="70" t="str">
        <x:v>накрутка поведенческих факторов сайта</x:v>
      </x:c>
      <x:c r="C16" s="70" t="str">
        <x:v>Основной коммерческий</x:v>
      </x:c>
      <x:c r="D16" s="70" t="str">
        <x:v>Коммерческий</x:v>
      </x:c>
      <x:c r="E16" s="70" t="str">
        <x:v>BOFU</x:v>
      </x:c>
      <x:c r="F16" s="70" t="str">
        <x:v>Экспертная посадочная</x:v>
      </x:c>
      <x:c r="G16" s="71" t="n">
        <x:v>5</x:v>
      </x:c>
      <x:c r="H16" s="71" t="n">
        <x:v>5</x:v>
      </x:c>
      <x:c r="I16" s="71" t="n">
        <x:v>5</x:v>
      </x:c>
      <x:c r="J16" s="71" t="n">
        <x:v>4</x:v>
      </x:c>
      <x:c r="K16" s="71" t="n">
        <x:v>5</x:v>
      </x:c>
      <x:c r="L16" s="71" t="n">
        <x:f>G16*6+H16*4+J16*4+(6-I16)*4+(6-K16)*2</x:f>
        <x:v>72</x:v>
      </x:c>
      <x:c r="M16" s="57" t="str">
        <x:f>IF(L16&gt;=80,"P1",IF(L16&gt;=65,"P2","P3"))</x:f>
        <x:v>P2</x:v>
      </x:c>
      <x:c r="N16" s="57" t="str">
        <x:v>B1</x:v>
      </x:c>
      <x:c r="O16" s="57" t="str">
        <x:v>В очереди</x:v>
      </x:c>
      <x:c r="P16" s="72" t="str"/>
      <x:c r="Q16" s="70" t="str">
        <x:v>Не смешивать с ПФ Карт, маркетплейсов и Авито</x:v>
      </x:c>
      <x:c r="R16" s="70" t="str">
        <x:v>https://seo-robots.ru/</x:v>
      </x:c>
    </x:row>
    <x:row r="17">
      <x:c r="A17" s="57" t="n">
        <x:v>16</x:v>
      </x:c>
      <x:c r="B17" s="70" t="str">
        <x:v>накрутка пф сайта</x:v>
      </x:c>
      <x:c r="C17" s="70" t="str">
        <x:v>Основной коммерческий</x:v>
      </x:c>
      <x:c r="D17" s="70" t="str">
        <x:v>Коммерческий</x:v>
      </x:c>
      <x:c r="E17" s="70" t="str">
        <x:v>BOFU</x:v>
      </x:c>
      <x:c r="F17" s="70" t="str">
        <x:v>Экспертная посадочная</x:v>
      </x:c>
      <x:c r="G17" s="71" t="n">
        <x:v>5</x:v>
      </x:c>
      <x:c r="H17" s="71" t="n">
        <x:v>5</x:v>
      </x:c>
      <x:c r="I17" s="71" t="n">
        <x:v>5</x:v>
      </x:c>
      <x:c r="J17" s="71" t="n">
        <x:v>4</x:v>
      </x:c>
      <x:c r="K17" s="71" t="n">
        <x:v>5</x:v>
      </x:c>
      <x:c r="L17" s="71" t="n">
        <x:f>G17*6+H17*4+J17*4+(6-I17)*4+(6-K17)*2</x:f>
        <x:v>72</x:v>
      </x:c>
      <x:c r="M17" s="57" t="str">
        <x:f>IF(L17&gt;=80,"P1",IF(L17&gt;=65,"P2","P3"))</x:f>
        <x:v>P2</x:v>
      </x:c>
      <x:c r="N17" s="57" t="str">
        <x:v>B1</x:v>
      </x:c>
      <x:c r="O17" s="57" t="str">
        <x:v>В очереди</x:v>
      </x:c>
      <x:c r="P17" s="72" t="str"/>
      <x:c r="Q17" s="70" t="str">
        <x:v>Короткая форма</x:v>
      </x:c>
      <x:c r="R17" s="70" t="str">
        <x:v>https://seo-robots.ru/</x:v>
      </x:c>
    </x:row>
    <x:row r="18">
      <x:c r="A18" s="57" t="n">
        <x:v>17</x:v>
      </x:c>
      <x:c r="B18" s="70" t="str">
        <x:v>заказать накрутку пф</x:v>
      </x:c>
      <x:c r="C18" s="70" t="str">
        <x:v>Основной коммерческий</x:v>
      </x:c>
      <x:c r="D18" s="70" t="str">
        <x:v>Транзакционный</x:v>
      </x:c>
      <x:c r="E18" s="70" t="str">
        <x:v>BOFU</x:v>
      </x:c>
      <x:c r="F18" s="70" t="str">
        <x:v>Коммерческая статья</x:v>
      </x:c>
      <x:c r="G18" s="71" t="n">
        <x:v>5</x:v>
      </x:c>
      <x:c r="H18" s="71" t="n">
        <x:v>4</x:v>
      </x:c>
      <x:c r="I18" s="71" t="n">
        <x:v>5</x:v>
      </x:c>
      <x:c r="J18" s="71" t="n">
        <x:v>4</x:v>
      </x:c>
      <x:c r="K18" s="71" t="n">
        <x:v>5</x:v>
      </x:c>
      <x:c r="L18" s="71" t="n">
        <x:f>G18*6+H18*4+J18*4+(6-I18)*4+(6-K18)*2</x:f>
        <x:v>68</x:v>
      </x:c>
      <x:c r="M18" s="57" t="str">
        <x:f>IF(L18&gt;=80,"P1",IF(L18&gt;=65,"P2","P3"))</x:f>
        <x:v>P2</x:v>
      </x:c>
      <x:c r="N18" s="57" t="str">
        <x:v>B2</x:v>
      </x:c>
      <x:c r="O18" s="57" t="str">
        <x:v>В очереди</x:v>
      </x:c>
      <x:c r="P18" s="72" t="str"/>
      <x:c r="Q18" s="70" t="str">
        <x:v>Нативный CTA без обещаний результата</x:v>
      </x:c>
      <x:c r="R18" s="70" t="str">
        <x:v>https://seo-robots.ru/</x:v>
      </x:c>
    </x:row>
    <x:row r="19">
      <x:c r="A19" s="57" t="n">
        <x:v>18</x:v>
      </x:c>
      <x:c r="B19" s="70" t="str">
        <x:v>заказать поведенческие факторы</x:v>
      </x:c>
      <x:c r="C19" s="70" t="str">
        <x:v>Основной коммерческий</x:v>
      </x:c>
      <x:c r="D19" s="70" t="str">
        <x:v>Транзакционный</x:v>
      </x:c>
      <x:c r="E19" s="70" t="str">
        <x:v>BOFU</x:v>
      </x:c>
      <x:c r="F19" s="70" t="str">
        <x:v>Коммерческая статья</x:v>
      </x:c>
      <x:c r="G19" s="71" t="n">
        <x:v>5</x:v>
      </x:c>
      <x:c r="H19" s="71" t="n">
        <x:v>4</x:v>
      </x:c>
      <x:c r="I19" s="71" t="n">
        <x:v>4</x:v>
      </x:c>
      <x:c r="J19" s="71" t="n">
        <x:v>4</x:v>
      </x:c>
      <x:c r="K19" s="71" t="n">
        <x:v>4</x:v>
      </x:c>
      <x:c r="L19" s="71" t="n">
        <x:f>G19*6+H19*4+J19*4+(6-I19)*4+(6-K19)*2</x:f>
        <x:v>74</x:v>
      </x:c>
      <x:c r="M19" s="57" t="str">
        <x:f>IF(L19&gt;=80,"P1",IF(L19&gt;=65,"P2","P3"))</x:f>
        <x:v>P2</x:v>
      </x:c>
      <x:c r="N19" s="57" t="str">
        <x:v>B2</x:v>
      </x:c>
      <x:c r="O19" s="57" t="str">
        <x:v>В очереди</x:v>
      </x:c>
      <x:c r="P19" s="72" t="str"/>
      <x:c r="Q19" s="70" t="str">
        <x:v>Нужно объяснить формат сервиса, а не услуги под ключ</x:v>
      </x:c>
      <x:c r="R19" s="70" t="str">
        <x:v>https://seo-robots.ru/</x:v>
      </x:c>
    </x:row>
    <x:row r="20">
      <x:c r="A20" s="57" t="n">
        <x:v>19</x:v>
      </x:c>
      <x:c r="B20" s="70" t="str">
        <x:v>пф яндекс заказать</x:v>
      </x:c>
      <x:c r="C20" s="70" t="str">
        <x:v>Основной коммерческий</x:v>
      </x:c>
      <x:c r="D20" s="70" t="str">
        <x:v>Транзакционный</x:v>
      </x:c>
      <x:c r="E20" s="70" t="str">
        <x:v>BOFU</x:v>
      </x:c>
      <x:c r="F20" s="70" t="str">
        <x:v>Коммерческая статья</x:v>
      </x:c>
      <x:c r="G20" s="71" t="n">
        <x:v>5</x:v>
      </x:c>
      <x:c r="H20" s="71" t="n">
        <x:v>4</x:v>
      </x:c>
      <x:c r="I20" s="71" t="n">
        <x:v>4</x:v>
      </x:c>
      <x:c r="J20" s="71" t="n">
        <x:v>4</x:v>
      </x:c>
      <x:c r="K20" s="71" t="n">
        <x:v>5</x:v>
      </x:c>
      <x:c r="L20" s="71" t="n">
        <x:f>G20*6+H20*4+J20*4+(6-I20)*4+(6-K20)*2</x:f>
        <x:v>72</x:v>
      </x:c>
      <x:c r="M20" s="57" t="str">
        <x:f>IF(L20&gt;=80,"P1",IF(L20&gt;=65,"P2","P3"))</x:f>
        <x:v>P2</x:v>
      </x:c>
      <x:c r="N20" s="57" t="str">
        <x:v>B2</x:v>
      </x:c>
      <x:c r="O20" s="57" t="str">
        <x:v>В очереди</x:v>
      </x:c>
      <x:c r="P20" s="72" t="str"/>
      <x:c r="Q20" s="70" t="str">
        <x:v>Разговорная формулировка</x:v>
      </x:c>
      <x:c r="R20" s="70" t="str">
        <x:v>https://seo-robots.ru/</x:v>
      </x:c>
    </x:row>
    <x:row r="21">
      <x:c r="A21" s="57" t="n">
        <x:v>20</x:v>
      </x:c>
      <x:c r="B21" s="70" t="str">
        <x:v>продвижение сайта поведенческими факторами</x:v>
      </x:c>
      <x:c r="C21" s="70" t="str">
        <x:v>Основной коммерческий</x:v>
      </x:c>
      <x:c r="D21" s="70" t="str">
        <x:v>Коммерческий</x:v>
      </x:c>
      <x:c r="E21" s="70" t="str">
        <x:v>BOFU</x:v>
      </x:c>
      <x:c r="F21" s="70" t="str">
        <x:v>Руководство</x:v>
      </x:c>
      <x:c r="G21" s="71" t="n">
        <x:v>5</x:v>
      </x:c>
      <x:c r="H21" s="71" t="n">
        <x:v>5</x:v>
      </x:c>
      <x:c r="I21" s="71" t="n">
        <x:v>5</x:v>
      </x:c>
      <x:c r="J21" s="71" t="n">
        <x:v>4</x:v>
      </x:c>
      <x:c r="K21" s="71" t="n">
        <x:v>4</x:v>
      </x:c>
      <x:c r="L21" s="71" t="n">
        <x:f>G21*6+H21*4+J21*4+(6-I21)*4+(6-K21)*2</x:f>
        <x:v>74</x:v>
      </x:c>
      <x:c r="M21" s="57" t="str">
        <x:f>IF(L21&gt;=80,"P1",IF(L21&gt;=65,"P2","P3"))</x:f>
        <x:v>P2</x:v>
      </x:c>
      <x:c r="N21" s="57" t="str">
        <x:v>B3</x:v>
      </x:c>
      <x:c r="O21" s="57" t="str">
        <x:v>В очереди</x:v>
      </x:c>
      <x:c r="P21" s="72" t="str"/>
      <x:c r="Q21" s="70" t="str">
        <x:v>Подходит взрослое позиционирование «ПФ + SEO»</x:v>
      </x:c>
      <x:c r="R21" s="70" t="str">
        <x:v>https://seo-robots.ru/</x:v>
      </x:c>
    </x:row>
    <x:row r="22">
      <x:c r="A22" s="57" t="n">
        <x:v>21</x:v>
      </x:c>
      <x:c r="B22" s="70" t="str">
        <x:v>продвижение поведенческими факторами</x:v>
      </x:c>
      <x:c r="C22" s="70" t="str">
        <x:v>Основной коммерческий</x:v>
      </x:c>
      <x:c r="D22" s="70" t="str">
        <x:v>Коммерческий</x:v>
      </x:c>
      <x:c r="E22" s="70" t="str">
        <x:v>BOFU</x:v>
      </x:c>
      <x:c r="F22" s="70" t="str">
        <x:v>Руководство</x:v>
      </x:c>
      <x:c r="G22" s="71" t="n">
        <x:v>5</x:v>
      </x:c>
      <x:c r="H22" s="71" t="n">
        <x:v>5</x:v>
      </x:c>
      <x:c r="I22" s="71" t="n">
        <x:v>5</x:v>
      </x:c>
      <x:c r="J22" s="71" t="n">
        <x:v>4</x:v>
      </x:c>
      <x:c r="K22" s="71" t="n">
        <x:v>4</x:v>
      </x:c>
      <x:c r="L22" s="71" t="n">
        <x:f>G22*6+H22*4+J22*4+(6-I22)*4+(6-K22)*2</x:f>
        <x:v>74</x:v>
      </x:c>
      <x:c r="M22" s="57" t="str">
        <x:f>IF(L22&gt;=80,"P1",IF(L22&gt;=65,"P2","P3"))</x:f>
        <x:v>P2</x:v>
      </x:c>
      <x:c r="N22" s="57" t="str">
        <x:v>B3</x:v>
      </x:c>
      <x:c r="O22" s="57" t="str">
        <x:v>В очереди</x:v>
      </x:c>
      <x:c r="P22" s="72" t="str"/>
      <x:c r="Q22" s="70" t="str">
        <x:v>Широкий кластер</x:v>
      </x:c>
      <x:c r="R22" s="70" t="str">
        <x:v>https://seo-robots.ru/</x:v>
      </x:c>
    </x:row>
    <x:row r="23">
      <x:c r="A23" s="57" t="n">
        <x:v>22</x:v>
      </x:c>
      <x:c r="B23" s="70" t="str">
        <x:v>поведенческое продвижение сайта</x:v>
      </x:c>
      <x:c r="C23" s="70" t="str">
        <x:v>Основной коммерческий</x:v>
      </x:c>
      <x:c r="D23" s="70" t="str">
        <x:v>Коммерческий</x:v>
      </x:c>
      <x:c r="E23" s="70" t="str">
        <x:v>BOFU</x:v>
      </x:c>
      <x:c r="F23" s="70" t="str">
        <x:v>Руководство</x:v>
      </x:c>
      <x:c r="G23" s="71" t="n">
        <x:v>5</x:v>
      </x:c>
      <x:c r="H23" s="71" t="n">
        <x:v>5</x:v>
      </x:c>
      <x:c r="I23" s="71" t="n">
        <x:v>4</x:v>
      </x:c>
      <x:c r="J23" s="71" t="n">
        <x:v>4</x:v>
      </x:c>
      <x:c r="K23" s="71" t="n">
        <x:v>4</x:v>
      </x:c>
      <x:c r="L23" s="71" t="n">
        <x:f>G23*6+H23*4+J23*4+(6-I23)*4+(6-K23)*2</x:f>
        <x:v>78</x:v>
      </x:c>
      <x:c r="M23" s="57" t="str">
        <x:f>IF(L23&gt;=80,"P1",IF(L23&gt;=65,"P2","P3"))</x:f>
        <x:v>P2</x:v>
      </x:c>
      <x:c r="N23" s="57" t="str">
        <x:v>B3</x:v>
      </x:c>
      <x:c r="O23" s="57" t="str">
        <x:v>В очереди</x:v>
      </x:c>
      <x:c r="P23" s="72" t="str"/>
      <x:c r="Q23" s="70" t="str">
        <x:v>Вариант формулировки</x:v>
      </x:c>
      <x:c r="R23" s="70" t="str">
        <x:v>https://seo-robots.ru/</x:v>
      </x:c>
    </x:row>
    <x:row r="24">
      <x:c r="A24" s="57" t="n">
        <x:v>23</x:v>
      </x:c>
      <x:c r="B24" s="70" t="str">
        <x:v>автоматизация поведенческих факторов</x:v>
      </x:c>
      <x:c r="C24" s="70" t="str">
        <x:v>Основной коммерческий</x:v>
      </x:c>
      <x:c r="D24" s="70" t="str">
        <x:v>Коммерческий</x:v>
      </x:c>
      <x:c r="E24" s="70" t="str">
        <x:v>BOFU</x:v>
      </x:c>
      <x:c r="F24" s="70" t="str">
        <x:v>Продуктовый обзор</x:v>
      </x:c>
      <x:c r="G24" s="71" t="n">
        <x:v>5</x:v>
      </x:c>
      <x:c r="H24" s="71" t="n">
        <x:v>5</x:v>
      </x:c>
      <x:c r="I24" s="71" t="n">
        <x:v>3</x:v>
      </x:c>
      <x:c r="J24" s="71" t="n">
        <x:v>5</x:v>
      </x:c>
      <x:c r="K24" s="71" t="n">
        <x:v>4</x:v>
      </x:c>
      <x:c r="L24" s="71" t="n">
        <x:f>G24*6+H24*4+J24*4+(6-I24)*4+(6-K24)*2</x:f>
        <x:v>86</x:v>
      </x:c>
      <x:c r="M24" s="57" t="str">
        <x:f>IF(L24&gt;=80,"P1",IF(L24&gt;=65,"P2","P3"))</x:f>
        <x:v>P1</x:v>
      </x:c>
      <x:c r="N24" s="57" t="str">
        <x:v>B4</x:v>
      </x:c>
      <x:c r="O24" s="57" t="str">
        <x:v>В очереди</x:v>
      </x:c>
      <x:c r="P24" s="72" t="str"/>
      <x:c r="Q24" s="70" t="str">
        <x:v>Хорошо совпадает с позиционированием MetricHit</x:v>
      </x:c>
      <x:c r="R24" s="70" t="str">
        <x:v>https://seo-robots.ru/</x:v>
      </x:c>
    </x:row>
    <x:row r="25">
      <x:c r="A25" s="57" t="n">
        <x:v>24</x:v>
      </x:c>
      <x:c r="B25" s="70" t="str">
        <x:v>автоматизация пф яндекс</x:v>
      </x:c>
      <x:c r="C25" s="70" t="str">
        <x:v>Основной коммерческий</x:v>
      </x:c>
      <x:c r="D25" s="70" t="str">
        <x:v>Коммерческий</x:v>
      </x:c>
      <x:c r="E25" s="70" t="str">
        <x:v>BOFU</x:v>
      </x:c>
      <x:c r="F25" s="70" t="str">
        <x:v>Продуктовый обзор</x:v>
      </x:c>
      <x:c r="G25" s="71" t="n">
        <x:v>5</x:v>
      </x:c>
      <x:c r="H25" s="71" t="n">
        <x:v>5</x:v>
      </x:c>
      <x:c r="I25" s="71" t="n">
        <x:v>3</x:v>
      </x:c>
      <x:c r="J25" s="71" t="n">
        <x:v>5</x:v>
      </x:c>
      <x:c r="K25" s="71" t="n">
        <x:v>4</x:v>
      </x:c>
      <x:c r="L25" s="71" t="n">
        <x:f>G25*6+H25*4+J25*4+(6-I25)*4+(6-K25)*2</x:f>
        <x:v>86</x:v>
      </x:c>
      <x:c r="M25" s="57" t="str">
        <x:f>IF(L25&gt;=80,"P1",IF(L25&gt;=65,"P2","P3"))</x:f>
        <x:v>P1</x:v>
      </x:c>
      <x:c r="N25" s="57" t="str">
        <x:v>B4</x:v>
      </x:c>
      <x:c r="O25" s="57" t="str">
        <x:v>В очереди</x:v>
      </x:c>
      <x:c r="P25" s="72" t="str"/>
      <x:c r="Q25" s="70" t="str">
        <x:v>Узкий, но продуктовый кластер</x:v>
      </x:c>
      <x:c r="R25" s="70" t="str">
        <x:v>https://seo-robots.ru/</x:v>
      </x:c>
    </x:row>
    <x:row r="26">
      <x:c r="A26" s="57" t="n">
        <x:v>25</x:v>
      </x:c>
      <x:c r="B26" s="70" t="str">
        <x:v>боты для накрутки пф</x:v>
      </x:c>
      <x:c r="C26" s="70" t="str">
        <x:v>Основной коммерческий</x:v>
      </x:c>
      <x:c r="D26" s="70" t="str">
        <x:v>Коммерческий</x:v>
      </x:c>
      <x:c r="E26" s="70" t="str">
        <x:v>BOFU</x:v>
      </x:c>
      <x:c r="F26" s="70" t="str">
        <x:v>Обзор подходов</x:v>
      </x:c>
      <x:c r="G26" s="71" t="n">
        <x:v>5</x:v>
      </x:c>
      <x:c r="H26" s="71" t="n">
        <x:v>4</x:v>
      </x:c>
      <x:c r="I26" s="71" t="n">
        <x:v>5</x:v>
      </x:c>
      <x:c r="J26" s="71" t="n">
        <x:v>3</x:v>
      </x:c>
      <x:c r="K26" s="71" t="n">
        <x:v>5</x:v>
      </x:c>
      <x:c r="L26" s="71" t="n">
        <x:f>G26*6+H26*4+J26*4+(6-I26)*4+(6-K26)*2</x:f>
        <x:v>64</x:v>
      </x:c>
      <x:c r="M26" s="57" t="str">
        <x:f>IF(L26&gt;=80,"P1",IF(L26&gt;=65,"P2","P3"))</x:f>
        <x:v>P3</x:v>
      </x:c>
      <x:c r="N26" s="57" t="str">
        <x:v>B5</x:v>
      </x:c>
      <x:c r="O26" s="57" t="str">
        <x:v>В очереди</x:v>
      </x:c>
      <x:c r="P26" s="72" t="str"/>
      <x:c r="Q26" s="70" t="str">
        <x:v>Не раскрывать обход защитных систем</x:v>
      </x:c>
      <x:c r="R26" s="70" t="str">
        <x:v>https://tools.pixelplus.ru/optimization/filtr-za-nakrutku-pf-yandex</x:v>
      </x:c>
    </x:row>
    <x:row r="27">
      <x:c r="A27" s="57" t="n">
        <x:v>26</x:v>
      </x:c>
      <x:c r="B27" s="70" t="str">
        <x:v>накрутка кликов в поиске яндекс</x:v>
      </x:c>
      <x:c r="C27" s="70" t="str">
        <x:v>Основной коммерческий</x:v>
      </x:c>
      <x:c r="D27" s="70" t="str">
        <x:v>Коммерческий</x:v>
      </x:c>
      <x:c r="E27" s="70" t="str">
        <x:v>BOFU</x:v>
      </x:c>
      <x:c r="F27" s="70" t="str">
        <x:v>Объясняющая статья</x:v>
      </x:c>
      <x:c r="G27" s="71" t="n">
        <x:v>4</x:v>
      </x:c>
      <x:c r="H27" s="71" t="n">
        <x:v>4</x:v>
      </x:c>
      <x:c r="I27" s="71" t="n">
        <x:v>4</x:v>
      </x:c>
      <x:c r="J27" s="71" t="n">
        <x:v>4</x:v>
      </x:c>
      <x:c r="K27" s="71" t="n">
        <x:v>5</x:v>
      </x:c>
      <x:c r="L27" s="71" t="n">
        <x:f>G27*6+H27*4+J27*4+(6-I27)*4+(6-K27)*2</x:f>
        <x:v>66</x:v>
      </x:c>
      <x:c r="M27" s="57" t="str">
        <x:f>IF(L27&gt;=80,"P1",IF(L27&gt;=65,"P2","P3"))</x:f>
        <x:v>P2</x:v>
      </x:c>
      <x:c r="N27" s="57" t="str">
        <x:v>B5</x:v>
      </x:c>
      <x:c r="O27" s="57" t="str">
        <x:v>В очереди</x:v>
      </x:c>
      <x:c r="P27" s="72" t="str"/>
      <x:c r="Q27" s="70" t="str">
        <x:v>Может смешиваться с Директом и накруткой подсказок</x:v>
      </x:c>
      <x:c r="R27" s="70" t="str">
        <x:v>https://seo-robots.ru/</x:v>
      </x:c>
    </x:row>
    <x:row r="28">
      <x:c r="A28" s="57" t="n">
        <x:v>27</x:v>
      </x:c>
      <x:c r="B28" s="70" t="str">
        <x:v>клики из поисковой выдачи для продвижения</x:v>
      </x:c>
      <x:c r="C28" s="70" t="str">
        <x:v>Основной коммерческий</x:v>
      </x:c>
      <x:c r="D28" s="70" t="str">
        <x:v>Коммерческий</x:v>
      </x:c>
      <x:c r="E28" s="70" t="str">
        <x:v>BOFU</x:v>
      </x:c>
      <x:c r="F28" s="70" t="str">
        <x:v>Объясняющая статья</x:v>
      </x:c>
      <x:c r="G28" s="71" t="n">
        <x:v>4</x:v>
      </x:c>
      <x:c r="H28" s="71" t="n">
        <x:v>5</x:v>
      </x:c>
      <x:c r="I28" s="71" t="n">
        <x:v>3</x:v>
      </x:c>
      <x:c r="J28" s="71" t="n">
        <x:v>5</x:v>
      </x:c>
      <x:c r="K28" s="71" t="n">
        <x:v>4</x:v>
      </x:c>
      <x:c r="L28" s="71" t="n">
        <x:f>G28*6+H28*4+J28*4+(6-I28)*4+(6-K28)*2</x:f>
        <x:v>80</x:v>
      </x:c>
      <x:c r="M28" s="57" t="str">
        <x:f>IF(L28&gt;=80,"P1",IF(L28&gt;=65,"P2","P3"))</x:f>
        <x:v>P1</x:v>
      </x:c>
      <x:c r="N28" s="57" t="str">
        <x:v>B5</x:v>
      </x:c>
      <x:c r="O28" s="57" t="str">
        <x:v>В очереди</x:v>
      </x:c>
      <x:c r="P28" s="72" t="str"/>
      <x:c r="Q28" s="70" t="str">
        <x:v>Подходит для образовательной формулировки</x:v>
      </x:c>
      <x:c r="R28" s="70" t="str">
        <x:v>https://seo-robots.ru/</x:v>
      </x:c>
    </x:row>
    <x:row r="29">
      <x:c r="A29" s="57" t="n">
        <x:v>28</x:v>
      </x:c>
      <x:c r="B29" s="70" t="str">
        <x:v>накрутка пф цена</x:v>
      </x:c>
      <x:c r="C29" s="70" t="str">
        <x:v>Цена / бюджет</x:v>
      </x:c>
      <x:c r="D29" s="70" t="str">
        <x:v>Коммерческий</x:v>
      </x:c>
      <x:c r="E29" s="70" t="str">
        <x:v>BOFU</x:v>
      </x:c>
      <x:c r="F29" s="70" t="str">
        <x:v>Калькулятор/разбор</x:v>
      </x:c>
      <x:c r="G29" s="71" t="n">
        <x:v>5</x:v>
      </x:c>
      <x:c r="H29" s="71" t="n">
        <x:v>5</x:v>
      </x:c>
      <x:c r="I29" s="71" t="n">
        <x:v>4</x:v>
      </x:c>
      <x:c r="J29" s="71" t="n">
        <x:v>5</x:v>
      </x:c>
      <x:c r="K29" s="71" t="n">
        <x:v>4</x:v>
      </x:c>
      <x:c r="L29" s="71" t="n">
        <x:f>G29*6+H29*4+J29*4+(6-I29)*4+(6-K29)*2</x:f>
        <x:v>82</x:v>
      </x:c>
      <x:c r="M29" s="57" t="str">
        <x:f>IF(L29&gt;=80,"P1",IF(L29&gt;=65,"P2","P3"))</x:f>
        <x:v>P1</x:v>
      </x:c>
      <x:c r="N29" s="57" t="str">
        <x:v>C1</x:v>
      </x:c>
      <x:c r="O29" s="57" t="str">
        <x:v>В очереди</x:v>
      </x:c>
      <x:c r="P29" s="72" t="str"/>
      <x:c r="Q29" s="70" t="str">
        <x:v>Приоритетный кластер с прямой коммерческой близостью</x:v>
      </x:c>
      <x:c r="R29" s="70" t="str">
        <x:v>https://workspace.ru/blog/nakrutka-pf-direkt-ili-seo-chto-vygodnee-i-skolko-stoit-zayavka-v-kazhdom-iz-3-kanalov/</x:v>
      </x:c>
    </x:row>
    <x:row r="30">
      <x:c r="A30" s="57" t="n">
        <x:v>29</x:v>
      </x:c>
      <x:c r="B30" s="70" t="str">
        <x:v>накрутка поведенческих факторов цена</x:v>
      </x:c>
      <x:c r="C30" s="70" t="str">
        <x:v>Цена / бюджет</x:v>
      </x:c>
      <x:c r="D30" s="70" t="str">
        <x:v>Коммерческий</x:v>
      </x:c>
      <x:c r="E30" s="70" t="str">
        <x:v>BOFU</x:v>
      </x:c>
      <x:c r="F30" s="70" t="str">
        <x:v>Калькулятор/разбор</x:v>
      </x:c>
      <x:c r="G30" s="71" t="n">
        <x:v>5</x:v>
      </x:c>
      <x:c r="H30" s="71" t="n">
        <x:v>5</x:v>
      </x:c>
      <x:c r="I30" s="71" t="n">
        <x:v>4</x:v>
      </x:c>
      <x:c r="J30" s="71" t="n">
        <x:v>5</x:v>
      </x:c>
      <x:c r="K30" s="71" t="n">
        <x:v>4</x:v>
      </x:c>
      <x:c r="L30" s="71" t="n">
        <x:f>G30*6+H30*4+J30*4+(6-I30)*4+(6-K30)*2</x:f>
        <x:v>82</x:v>
      </x:c>
      <x:c r="M30" s="57" t="str">
        <x:f>IF(L30&gt;=80,"P1",IF(L30&gt;=65,"P2","P3"))</x:f>
        <x:v>P1</x:v>
      </x:c>
      <x:c r="N30" s="57" t="str">
        <x:v>C1</x:v>
      </x:c>
      <x:c r="O30" s="57" t="str">
        <x:v>В очереди</x:v>
      </x:c>
      <x:c r="P30" s="72" t="str"/>
      <x:c r="Q30" s="70" t="str">
        <x:v>Полная форма</x:v>
      </x:c>
      <x:c r="R30" s="70" t="str">
        <x:v>https://workspace.ru/blog/nakrutka-pf-direkt-ili-seo-chto-vygodnee-i-skolko-stoit-zayavka-v-kazhdom-iz-3-kanalov/</x:v>
      </x:c>
    </x:row>
    <x:row r="31">
      <x:c r="A31" s="57" t="n">
        <x:v>30</x:v>
      </x:c>
      <x:c r="B31" s="70" t="str">
        <x:v>стоимость накрутки пф</x:v>
      </x:c>
      <x:c r="C31" s="70" t="str">
        <x:v>Цена / бюджет</x:v>
      </x:c>
      <x:c r="D31" s="70" t="str">
        <x:v>Коммерческий</x:v>
      </x:c>
      <x:c r="E31" s="70" t="str">
        <x:v>BOFU</x:v>
      </x:c>
      <x:c r="F31" s="70" t="str">
        <x:v>Калькулятор/разбор</x:v>
      </x:c>
      <x:c r="G31" s="71" t="n">
        <x:v>5</x:v>
      </x:c>
      <x:c r="H31" s="71" t="n">
        <x:v>5</x:v>
      </x:c>
      <x:c r="I31" s="71" t="n">
        <x:v>4</x:v>
      </x:c>
      <x:c r="J31" s="71" t="n">
        <x:v>5</x:v>
      </x:c>
      <x:c r="K31" s="71" t="n">
        <x:v>4</x:v>
      </x:c>
      <x:c r="L31" s="71" t="n">
        <x:f>G31*6+H31*4+J31*4+(6-I31)*4+(6-K31)*2</x:f>
        <x:v>82</x:v>
      </x:c>
      <x:c r="M31" s="57" t="str">
        <x:f>IF(L31&gt;=80,"P1",IF(L31&gt;=65,"P2","P3"))</x:f>
        <x:v>P1</x:v>
      </x:c>
      <x:c r="N31" s="57" t="str">
        <x:v>C1</x:v>
      </x:c>
      <x:c r="O31" s="57" t="str">
        <x:v>В очереди</x:v>
      </x:c>
      <x:c r="P31" s="72" t="str"/>
      <x:c r="Q31" s="70" t="str">
        <x:v>Показать факторы бюджета и тарифную сетку</x:v>
      </x:c>
      <x:c r="R31" s="70" t="str">
        <x:v>https://workspace.ru/blog/nakrutka-pf-direkt-ili-seo-chto-vygodnee-i-skolko-stoit-zayavka-v-kazhdom-iz-3-kanalov/</x:v>
      </x:c>
    </x:row>
    <x:row r="32">
      <x:c r="A32" s="57" t="n">
        <x:v>31</x:v>
      </x:c>
      <x:c r="B32" s="70" t="str">
        <x:v>цена клика пф</x:v>
      </x:c>
      <x:c r="C32" s="70" t="str">
        <x:v>Цена / бюджет</x:v>
      </x:c>
      <x:c r="D32" s="70" t="str">
        <x:v>Коммерческий</x:v>
      </x:c>
      <x:c r="E32" s="70" t="str">
        <x:v>BOFU</x:v>
      </x:c>
      <x:c r="F32" s="70" t="str">
        <x:v>Тарифный разбор</x:v>
      </x:c>
      <x:c r="G32" s="71" t="n">
        <x:v>5</x:v>
      </x:c>
      <x:c r="H32" s="71" t="n">
        <x:v>5</x:v>
      </x:c>
      <x:c r="I32" s="71" t="n">
        <x:v>2</x:v>
      </x:c>
      <x:c r="J32" s="71" t="n">
        <x:v>5</x:v>
      </x:c>
      <x:c r="K32" s="71" t="n">
        <x:v>3</x:v>
      </x:c>
      <x:c r="L32" s="71" t="n">
        <x:f>G32*6+H32*4+J32*4+(6-I32)*4+(6-K32)*2</x:f>
        <x:v>92</x:v>
      </x:c>
      <x:c r="M32" s="57" t="str">
        <x:f>IF(L32&gt;=80,"P1",IF(L32&gt;=65,"P2","P3"))</x:f>
        <x:v>P1</x:v>
      </x:c>
      <x:c r="N32" s="57" t="str">
        <x:v>C2</x:v>
      </x:c>
      <x:c r="O32" s="57" t="str">
        <x:v>В очереди</x:v>
      </x:c>
      <x:c r="P32" s="72" t="str"/>
      <x:c r="Q32" s="70" t="str">
        <x:v>Очень близко к модели MetricHit</x:v>
      </x:c>
      <x:c r="R32" s="70" t="str">
        <x:v>https://workspace.ru/blog/nakrutka-pf-direkt-ili-seo-chto-vygodnee-i-skolko-stoit-zayavka-v-kazhdom-iz-3-kanalov/</x:v>
      </x:c>
    </x:row>
    <x:row r="33">
      <x:c r="A33" s="57" t="n">
        <x:v>32</x:v>
      </x:c>
      <x:c r="B33" s="70" t="str">
        <x:v>накрутка пф цена за клик</x:v>
      </x:c>
      <x:c r="C33" s="70" t="str">
        <x:v>Цена / бюджет</x:v>
      </x:c>
      <x:c r="D33" s="70" t="str">
        <x:v>Коммерческий</x:v>
      </x:c>
      <x:c r="E33" s="70" t="str">
        <x:v>BOFU</x:v>
      </x:c>
      <x:c r="F33" s="70" t="str">
        <x:v>Тарифный разбор</x:v>
      </x:c>
      <x:c r="G33" s="71" t="n">
        <x:v>5</x:v>
      </x:c>
      <x:c r="H33" s="71" t="n">
        <x:v>5</x:v>
      </x:c>
      <x:c r="I33" s="71" t="n">
        <x:v>2</x:v>
      </x:c>
      <x:c r="J33" s="71" t="n">
        <x:v>5</x:v>
      </x:c>
      <x:c r="K33" s="71" t="n">
        <x:v>3</x:v>
      </x:c>
      <x:c r="L33" s="71" t="n">
        <x:f>G33*6+H33*4+J33*4+(6-I33)*4+(6-K33)*2</x:f>
        <x:v>92</x:v>
      </x:c>
      <x:c r="M33" s="57" t="str">
        <x:f>IF(L33&gt;=80,"P1",IF(L33&gt;=65,"P2","P3"))</x:f>
        <x:v>P1</x:v>
      </x:c>
      <x:c r="N33" s="57" t="str">
        <x:v>C2</x:v>
      </x:c>
      <x:c r="O33" s="57" t="str">
        <x:v>В очереди</x:v>
      </x:c>
      <x:c r="P33" s="72" t="str"/>
      <x:c r="Q33" s="70" t="str">
        <x:v>Сильный long-tail для Workspace</x:v>
      </x:c>
      <x:c r="R33" s="70" t="str">
        <x:v>https://workspace.ru/blog/nakrutka-pf-direkt-ili-seo-chto-vygodnee-i-skolko-stoit-zayavka-v-kazhdom-iz-3-kanalov/</x:v>
      </x:c>
    </x:row>
    <x:row r="34">
      <x:c r="A34" s="57" t="n">
        <x:v>33</x:v>
      </x:c>
      <x:c r="B34" s="70" t="str">
        <x:v>покликовое продвижение сайта</x:v>
      </x:c>
      <x:c r="C34" s="70" t="str">
        <x:v>Цена / бюджет</x:v>
      </x:c>
      <x:c r="D34" s="70" t="str">
        <x:v>Коммерческий</x:v>
      </x:c>
      <x:c r="E34" s="70" t="str">
        <x:v>BOFU</x:v>
      </x:c>
      <x:c r="F34" s="70" t="str">
        <x:v>Обзор модели оплаты</x:v>
      </x:c>
      <x:c r="G34" s="71" t="n">
        <x:v>5</x:v>
      </x:c>
      <x:c r="H34" s="71" t="n">
        <x:v>5</x:v>
      </x:c>
      <x:c r="I34" s="71" t="n">
        <x:v>3</x:v>
      </x:c>
      <x:c r="J34" s="71" t="n">
        <x:v>5</x:v>
      </x:c>
      <x:c r="K34" s="71" t="n">
        <x:v>3</x:v>
      </x:c>
      <x:c r="L34" s="71" t="n">
        <x:f>G34*6+H34*4+J34*4+(6-I34)*4+(6-K34)*2</x:f>
        <x:v>88</x:v>
      </x:c>
      <x:c r="M34" s="57" t="str">
        <x:f>IF(L34&gt;=80,"P1",IF(L34&gt;=65,"P2","P3"))</x:f>
        <x:v>P1</x:v>
      </x:c>
      <x:c r="N34" s="57" t="str">
        <x:v>C2</x:v>
      </x:c>
      <x:c r="O34" s="57" t="str">
        <x:v>В очереди</x:v>
      </x:c>
      <x:c r="P34" s="72" t="str"/>
      <x:c r="Q34" s="70" t="str">
        <x:v>Нужно пояснить отличие от контекстной рекламы</x:v>
      </x:c>
      <x:c r="R34" s="70" t="str">
        <x:v>https://workspace.ru/blog/nakrutka-pf-direkt-ili-seo-chto-vygodnee-i-skolko-stoit-zayavka-v-kazhdom-iz-3-kanalov/</x:v>
      </x:c>
    </x:row>
    <x:row r="35">
      <x:c r="A35" s="57" t="n">
        <x:v>34</x:v>
      </x:c>
      <x:c r="B35" s="70" t="str">
        <x:v>как рассчитать бюджет на пф</x:v>
      </x:c>
      <x:c r="C35" s="70" t="str">
        <x:v>Цена / бюджет</x:v>
      </x:c>
      <x:c r="D35" s="70" t="str">
        <x:v>Информационно-коммерческий</x:v>
      </x:c>
      <x:c r="E35" s="70" t="str">
        <x:v>MOFU</x:v>
      </x:c>
      <x:c r="F35" s="70" t="str">
        <x:v>Инструкция</x:v>
      </x:c>
      <x:c r="G35" s="71" t="n">
        <x:v>5</x:v>
      </x:c>
      <x:c r="H35" s="71" t="n">
        <x:v>5</x:v>
      </x:c>
      <x:c r="I35" s="71" t="n">
        <x:v>2</x:v>
      </x:c>
      <x:c r="J35" s="71" t="n">
        <x:v>5</x:v>
      </x:c>
      <x:c r="K35" s="71" t="n">
        <x:v>3</x:v>
      </x:c>
      <x:c r="L35" s="71" t="n">
        <x:f>G35*6+H35*4+J35*4+(6-I35)*4+(6-K35)*2</x:f>
        <x:v>92</x:v>
      </x:c>
      <x:c r="M35" s="57" t="str">
        <x:f>IF(L35&gt;=80,"P1",IF(L35&gt;=65,"P2","P3"))</x:f>
        <x:v>P1</x:v>
      </x:c>
      <x:c r="N35" s="57" t="str">
        <x:v>C3</x:v>
      </x:c>
      <x:c r="O35" s="57" t="str">
        <x:v>В очереди</x:v>
      </x:c>
      <x:c r="P35" s="72" t="str"/>
      <x:c r="Q35" s="70" t="str">
        <x:v>Практическая статья с калькуляцией без обещаний</x:v>
      </x:c>
      <x:c r="R35" s="70" t="str">
        <x:v>https://workspace.ru/blog/nakrutka-pf-direkt-ili-seo-chto-vygodnee-i-skolko-stoit-zayavka-v-kazhdom-iz-3-kanalov/</x:v>
      </x:c>
    </x:row>
    <x:row r="36">
      <x:c r="A36" s="57" t="n">
        <x:v>35</x:v>
      </x:c>
      <x:c r="B36" s="70" t="str">
        <x:v>бюджет на накрутку пф</x:v>
      </x:c>
      <x:c r="C36" s="70" t="str">
        <x:v>Цена / бюджет</x:v>
      </x:c>
      <x:c r="D36" s="70" t="str">
        <x:v>Информационно-коммерческий</x:v>
      </x:c>
      <x:c r="E36" s="70" t="str">
        <x:v>MOFU</x:v>
      </x:c>
      <x:c r="F36" s="70" t="str">
        <x:v>Инструкция</x:v>
      </x:c>
      <x:c r="G36" s="71" t="n">
        <x:v>5</x:v>
      </x:c>
      <x:c r="H36" s="71" t="n">
        <x:v>5</x:v>
      </x:c>
      <x:c r="I36" s="71" t="n">
        <x:v>3</x:v>
      </x:c>
      <x:c r="J36" s="71" t="n">
        <x:v>5</x:v>
      </x:c>
      <x:c r="K36" s="71" t="n">
        <x:v>3</x:v>
      </x:c>
      <x:c r="L36" s="71" t="n">
        <x:f>G36*6+H36*4+J36*4+(6-I36)*4+(6-K36)*2</x:f>
        <x:v>88</x:v>
      </x:c>
      <x:c r="M36" s="57" t="str">
        <x:f>IF(L36&gt;=80,"P1",IF(L36&gt;=65,"P2","P3"))</x:f>
        <x:v>P1</x:v>
      </x:c>
      <x:c r="N36" s="57" t="str">
        <x:v>C3</x:v>
      </x:c>
      <x:c r="O36" s="57" t="str">
        <x:v>В очереди</x:v>
      </x:c>
      <x:c r="P36" s="72" t="str"/>
      <x:c r="Q36" s="70" t="str">
        <x:v>Вести к покликовой модели</x:v>
      </x:c>
      <x:c r="R36" s="70" t="str">
        <x:v>https://workspace.ru/blog/nakrutka-pf-direkt-ili-seo-chto-vygodnee-i-skolko-stoit-zayavka-v-kazhdom-iz-3-kanalov/</x:v>
      </x:c>
    </x:row>
    <x:row r="37">
      <x:c r="A37" s="57" t="n">
        <x:v>36</x:v>
      </x:c>
      <x:c r="B37" s="70" t="str">
        <x:v>сколько кликов нужно для пф</x:v>
      </x:c>
      <x:c r="C37" s="70" t="str">
        <x:v>Цена / бюджет</x:v>
      </x:c>
      <x:c r="D37" s="70" t="str">
        <x:v>Информационно-коммерческий</x:v>
      </x:c>
      <x:c r="E37" s="70" t="str">
        <x:v>MOFU</x:v>
      </x:c>
      <x:c r="F37" s="70" t="str">
        <x:v>Методика расчета</x:v>
      </x:c>
      <x:c r="G37" s="71" t="n">
        <x:v>5</x:v>
      </x:c>
      <x:c r="H37" s="71" t="n">
        <x:v>5</x:v>
      </x:c>
      <x:c r="I37" s="71" t="n">
        <x:v>3</x:v>
      </x:c>
      <x:c r="J37" s="71" t="n">
        <x:v>4</x:v>
      </x:c>
      <x:c r="K37" s="71" t="n">
        <x:v>5</x:v>
      </x:c>
      <x:c r="L37" s="71" t="n">
        <x:f>G37*6+H37*4+J37*4+(6-I37)*4+(6-K37)*2</x:f>
        <x:v>80</x:v>
      </x:c>
      <x:c r="M37" s="57" t="str">
        <x:f>IF(L37&gt;=80,"P1",IF(L37&gt;=65,"P2","P3"))</x:f>
        <x:v>P1</x:v>
      </x:c>
      <x:c r="N37" s="57" t="str">
        <x:v>C4</x:v>
      </x:c>
      <x:c r="O37" s="57" t="str">
        <x:v>В очереди</x:v>
      </x:c>
      <x:c r="P37" s="72" t="str"/>
      <x:c r="Q37" s="70" t="str">
        <x:v>Нельзя давать универсальное число</x:v>
      </x:c>
      <x:c r="R37" s="70" t="str">
        <x:v>https://tools.pixelplus.ru/optimization/filtr-za-nakrutku-pf-yandex</x:v>
      </x:c>
    </x:row>
    <x:row r="38">
      <x:c r="A38" s="57" t="n">
        <x:v>37</x:v>
      </x:c>
      <x:c r="B38" s="70" t="str">
        <x:v>дневной лимит кликов пф</x:v>
      </x:c>
      <x:c r="C38" s="70" t="str">
        <x:v>Цена / бюджет</x:v>
      </x:c>
      <x:c r="D38" s="70" t="str">
        <x:v>Информационно-коммерческий</x:v>
      </x:c>
      <x:c r="E38" s="70" t="str">
        <x:v>MOFU</x:v>
      </x:c>
      <x:c r="F38" s="70" t="str">
        <x:v>Методика расчета</x:v>
      </x:c>
      <x:c r="G38" s="71" t="n">
        <x:v>5</x:v>
      </x:c>
      <x:c r="H38" s="71" t="n">
        <x:v>5</x:v>
      </x:c>
      <x:c r="I38" s="71" t="n">
        <x:v>2</x:v>
      </x:c>
      <x:c r="J38" s="71" t="n">
        <x:v>5</x:v>
      </x:c>
      <x:c r="K38" s="71" t="n">
        <x:v>5</x:v>
      </x:c>
      <x:c r="L38" s="71" t="n">
        <x:f>G38*6+H38*4+J38*4+(6-I38)*4+(6-K38)*2</x:f>
        <x:v>88</x:v>
      </x:c>
      <x:c r="M38" s="57" t="str">
        <x:f>IF(L38&gt;=80,"P1",IF(L38&gt;=65,"P2","P3"))</x:f>
        <x:v>P1</x:v>
      </x:c>
      <x:c r="N38" s="57" t="str">
        <x:v>C4</x:v>
      </x:c>
      <x:c r="O38" s="57" t="str">
        <x:v>В очереди</x:v>
      </x:c>
      <x:c r="P38" s="72" t="str"/>
      <x:c r="Q38" s="70" t="str">
        <x:v>Излагать без антифрод-инструкций</x:v>
      </x:c>
      <x:c r="R38" s="70" t="str">
        <x:v>https://tools.pixelplus.ru/optimization/filtr-za-nakrutku-pf-yandex</x:v>
      </x:c>
    </x:row>
    <x:row r="39">
      <x:c r="A39" s="57" t="n">
        <x:v>38</x:v>
      </x:c>
      <x:c r="B39" s="70" t="str">
        <x:v>что такое поведенческие факторы</x:v>
      </x:c>
      <x:c r="C39" s="70" t="str">
        <x:v>Образовательный</x:v>
      </x:c>
      <x:c r="D39" s="70" t="str">
        <x:v>Информационный</x:v>
      </x:c>
      <x:c r="E39" s="70" t="str">
        <x:v>TOFU</x:v>
      </x:c>
      <x:c r="F39" s="70" t="str">
        <x:v>Гайд</x:v>
      </x:c>
      <x:c r="G39" s="71" t="n">
        <x:v>3</x:v>
      </x:c>
      <x:c r="H39" s="71" t="n">
        <x:v>5</x:v>
      </x:c>
      <x:c r="I39" s="71" t="n">
        <x:v>5</x:v>
      </x:c>
      <x:c r="J39" s="71" t="n">
        <x:v>3</x:v>
      </x:c>
      <x:c r="K39" s="71" t="n">
        <x:v>2</x:v>
      </x:c>
      <x:c r="L39" s="71" t="n">
        <x:f>G39*6+H39*4+J39*4+(6-I39)*4+(6-K39)*2</x:f>
        <x:v>62</x:v>
      </x:c>
      <x:c r="M39" s="57" t="str">
        <x:f>IF(L39&gt;=80,"P1",IF(L39&gt;=65,"P2","P3"))</x:f>
        <x:v>P3</x:v>
      </x:c>
      <x:c r="N39" s="57" t="str">
        <x:v>D1</x:v>
      </x:c>
      <x:c r="O39" s="57" t="str">
        <x:v>В очереди</x:v>
      </x:c>
      <x:c r="P39" s="72" t="str"/>
      <x:c r="Q39" s="70" t="str">
        <x:v>Большой охват, слабее коммерческая близость</x:v>
      </x:c>
      <x:c r="R39" s="70" t="str">
        <x:v>https://kokoc.com/blog/povedencheskie-faktory-sajta-kak-uluchshit/</x:v>
      </x:c>
    </x:row>
    <x:row r="40">
      <x:c r="A40" s="57" t="n">
        <x:v>39</x:v>
      </x:c>
      <x:c r="B40" s="70" t="str">
        <x:v>поведенческие факторы сайта что это</x:v>
      </x:c>
      <x:c r="C40" s="70" t="str">
        <x:v>Образовательный</x:v>
      </x:c>
      <x:c r="D40" s="70" t="str">
        <x:v>Информационный</x:v>
      </x:c>
      <x:c r="E40" s="70" t="str">
        <x:v>TOFU</x:v>
      </x:c>
      <x:c r="F40" s="70" t="str">
        <x:v>Гайд</x:v>
      </x:c>
      <x:c r="G40" s="71" t="n">
        <x:v>3</x:v>
      </x:c>
      <x:c r="H40" s="71" t="n">
        <x:v>5</x:v>
      </x:c>
      <x:c r="I40" s="71" t="n">
        <x:v>5</x:v>
      </x:c>
      <x:c r="J40" s="71" t="n">
        <x:v>3</x:v>
      </x:c>
      <x:c r="K40" s="71" t="n">
        <x:v>2</x:v>
      </x:c>
      <x:c r="L40" s="71" t="n">
        <x:f>G40*6+H40*4+J40*4+(6-I40)*4+(6-K40)*2</x:f>
        <x:v>62</x:v>
      </x:c>
      <x:c r="M40" s="57" t="str">
        <x:f>IF(L40&gt;=80,"P1",IF(L40&gt;=65,"P2","P3"))</x:f>
        <x:v>P3</x:v>
      </x:c>
      <x:c r="N40" s="57" t="str">
        <x:v>D1</x:v>
      </x:c>
      <x:c r="O40" s="57" t="str">
        <x:v>В очереди</x:v>
      </x:c>
      <x:c r="P40" s="72" t="str"/>
      <x:c r="Q40" s="70" t="str">
        <x:v>Классический информационный интент</x:v>
      </x:c>
      <x:c r="R40" s="70" t="str">
        <x:v>https://kokoc.com/blog/povedencheskie-faktory-sajta-kak-uluchshit/</x:v>
      </x:c>
    </x:row>
    <x:row r="41">
      <x:c r="A41" s="57" t="n">
        <x:v>40</x:v>
      </x:c>
      <x:c r="B41" s="70" t="str">
        <x:v>поведенческие факторы яндекс</x:v>
      </x:c>
      <x:c r="C41" s="70" t="str">
        <x:v>Образовательный</x:v>
      </x:c>
      <x:c r="D41" s="70" t="str">
        <x:v>Информационный</x:v>
      </x:c>
      <x:c r="E41" s="70" t="str">
        <x:v>TOFU</x:v>
      </x:c>
      <x:c r="F41" s="70" t="str">
        <x:v>Гайд</x:v>
      </x:c>
      <x:c r="G41" s="71" t="n">
        <x:v>4</x:v>
      </x:c>
      <x:c r="H41" s="71" t="n">
        <x:v>5</x:v>
      </x:c>
      <x:c r="I41" s="71" t="n">
        <x:v>5</x:v>
      </x:c>
      <x:c r="J41" s="71" t="n">
        <x:v>4</x:v>
      </x:c>
      <x:c r="K41" s="71" t="n">
        <x:v>3</x:v>
      </x:c>
      <x:c r="L41" s="71" t="n">
        <x:f>G41*6+H41*4+J41*4+(6-I41)*4+(6-K41)*2</x:f>
        <x:v>70</x:v>
      </x:c>
      <x:c r="M41" s="57" t="str">
        <x:f>IF(L41&gt;=80,"P1",IF(L41&gt;=65,"P2","P3"))</x:f>
        <x:v>P2</x:v>
      </x:c>
      <x:c r="N41" s="57" t="str">
        <x:v>D1</x:v>
      </x:c>
      <x:c r="O41" s="57" t="str">
        <x:v>В очереди</x:v>
      </x:c>
      <x:c r="P41" s="72" t="str"/>
      <x:c r="Q41" s="70" t="str">
        <x:v>Уже частично покрыто первой статьей Дзена</x:v>
      </x:c>
      <x:c r="R41" s="70" t="str">
        <x:v>https://kokoc.com/blog/povedencheskie-faktory-sajta-kak-uluchshit/</x:v>
      </x:c>
    </x:row>
    <x:row r="42">
      <x:c r="A42" s="57" t="n">
        <x:v>41</x:v>
      </x:c>
      <x:c r="B42" s="70" t="str">
        <x:v>как работают поведенческие факторы</x:v>
      </x:c>
      <x:c r="C42" s="70" t="str">
        <x:v>Образовательный</x:v>
      </x:c>
      <x:c r="D42" s="70" t="str">
        <x:v>Информационный</x:v>
      </x:c>
      <x:c r="E42" s="70" t="str">
        <x:v>TOFU</x:v>
      </x:c>
      <x:c r="F42" s="70" t="str">
        <x:v>Гайд</x:v>
      </x:c>
      <x:c r="G42" s="71" t="n">
        <x:v>4</x:v>
      </x:c>
      <x:c r="H42" s="71" t="n">
        <x:v>5</x:v>
      </x:c>
      <x:c r="I42" s="71" t="n">
        <x:v>5</x:v>
      </x:c>
      <x:c r="J42" s="71" t="n">
        <x:v>4</x:v>
      </x:c>
      <x:c r="K42" s="71" t="n">
        <x:v>3</x:v>
      </x:c>
      <x:c r="L42" s="71" t="n">
        <x:f>G42*6+H42*4+J42*4+(6-I42)*4+(6-K42)*2</x:f>
        <x:v>70</x:v>
      </x:c>
      <x:c r="M42" s="57" t="str">
        <x:f>IF(L42&gt;=80,"P1",IF(L42&gt;=65,"P2","P3"))</x:f>
        <x:v>P2</x:v>
      </x:c>
      <x:c r="N42" s="57" t="str">
        <x:v>D1</x:v>
      </x:c>
      <x:c r="O42" s="57" t="str">
        <x:v>В очереди</x:v>
      </x:c>
      <x:c r="P42" s="72" t="str"/>
      <x:c r="Q42" s="70" t="str">
        <x:v>Не раскрывать внутреннюю механику сервиса</x:v>
      </x:c>
      <x:c r="R42" s="70" t="str">
        <x:v>https://kokoc.com/blog/povedencheskie-faktory-sajta-kak-uluchshit/</x:v>
      </x:c>
    </x:row>
    <x:row r="43">
      <x:c r="A43" s="57" t="n">
        <x:v>42</x:v>
      </x:c>
      <x:c r="B43" s="70" t="str">
        <x:v>влияние поведенческих факторов на ранжирование</x:v>
      </x:c>
      <x:c r="C43" s="70" t="str">
        <x:v>Образовательный</x:v>
      </x:c>
      <x:c r="D43" s="70" t="str">
        <x:v>Информационный</x:v>
      </x:c>
      <x:c r="E43" s="70" t="str">
        <x:v>TOFU</x:v>
      </x:c>
      <x:c r="F43" s="70" t="str">
        <x:v>Аналитика</x:v>
      </x:c>
      <x:c r="G43" s="71" t="n">
        <x:v>4</x:v>
      </x:c>
      <x:c r="H43" s="71" t="n">
        <x:v>5</x:v>
      </x:c>
      <x:c r="I43" s="71" t="n">
        <x:v>5</x:v>
      </x:c>
      <x:c r="J43" s="71" t="n">
        <x:v>4</x:v>
      </x:c>
      <x:c r="K43" s="71" t="n">
        <x:v>3</x:v>
      </x:c>
      <x:c r="L43" s="71" t="n">
        <x:f>G43*6+H43*4+J43*4+(6-I43)*4+(6-K43)*2</x:f>
        <x:v>70</x:v>
      </x:c>
      <x:c r="M43" s="57" t="str">
        <x:f>IF(L43&gt;=80,"P1",IF(L43&gt;=65,"P2","P3"))</x:f>
        <x:v>P2</x:v>
      </x:c>
      <x:c r="N43" s="57" t="str">
        <x:v>D2</x:v>
      </x:c>
      <x:c r="O43" s="57" t="str">
        <x:v>В очереди</x:v>
      </x:c>
      <x:c r="P43" s="72" t="str"/>
      <x:c r="Q43" s="70" t="str">
        <x:v>Нужны официальные источники и осторожные выводы</x:v>
      </x:c>
      <x:c r="R43" s="70" t="str">
        <x:v>https://kokoc.com/blog/povedencheskie-faktory-sajta-kak-uluchshit/</x:v>
      </x:c>
    </x:row>
    <x:row r="44">
      <x:c r="A44" s="57" t="n">
        <x:v>43</x:v>
      </x:c>
      <x:c r="B44" s="70" t="str">
        <x:v>внешние поведенческие факторы</x:v>
      </x:c>
      <x:c r="C44" s="70" t="str">
        <x:v>Образовательный</x:v>
      </x:c>
      <x:c r="D44" s="70" t="str">
        <x:v>Информационный</x:v>
      </x:c>
      <x:c r="E44" s="70" t="str">
        <x:v>TOFU</x:v>
      </x:c>
      <x:c r="F44" s="70" t="str">
        <x:v>Гайд</x:v>
      </x:c>
      <x:c r="G44" s="71" t="n">
        <x:v>4</x:v>
      </x:c>
      <x:c r="H44" s="71" t="n">
        <x:v>5</x:v>
      </x:c>
      <x:c r="I44" s="71" t="n">
        <x:v>4</x:v>
      </x:c>
      <x:c r="J44" s="71" t="n">
        <x:v>4</x:v>
      </x:c>
      <x:c r="K44" s="71" t="n">
        <x:v>3</x:v>
      </x:c>
      <x:c r="L44" s="71" t="n">
        <x:f>G44*6+H44*4+J44*4+(6-I44)*4+(6-K44)*2</x:f>
        <x:v>74</x:v>
      </x:c>
      <x:c r="M44" s="57" t="str">
        <x:f>IF(L44&gt;=80,"P1",IF(L44&gt;=65,"P2","P3"))</x:f>
        <x:v>P2</x:v>
      </x:c>
      <x:c r="N44" s="57" t="str">
        <x:v>D2</x:v>
      </x:c>
      <x:c r="O44" s="57" t="str">
        <x:v>В очереди</x:v>
      </x:c>
      <x:c r="P44" s="72" t="str"/>
      <x:c r="Q44" s="70" t="str">
        <x:v>Хороший подкластер</x:v>
      </x:c>
      <x:c r="R44" s="70" t="str">
        <x:v>https://kokoc.com/blog/povedencheskie-faktory-sajta-kak-uluchshit/</x:v>
      </x:c>
    </x:row>
    <x:row r="45">
      <x:c r="A45" s="57" t="n">
        <x:v>44</x:v>
      </x:c>
      <x:c r="B45" s="70" t="str">
        <x:v>внутренние поведенческие факторы</x:v>
      </x:c>
      <x:c r="C45" s="70" t="str">
        <x:v>Образовательный</x:v>
      </x:c>
      <x:c r="D45" s="70" t="str">
        <x:v>Информационный</x:v>
      </x:c>
      <x:c r="E45" s="70" t="str">
        <x:v>TOFU</x:v>
      </x:c>
      <x:c r="F45" s="70" t="str">
        <x:v>Гайд</x:v>
      </x:c>
      <x:c r="G45" s="71" t="n">
        <x:v>3</x:v>
      </x:c>
      <x:c r="H45" s="71" t="n">
        <x:v>5</x:v>
      </x:c>
      <x:c r="I45" s="71" t="n">
        <x:v>4</x:v>
      </x:c>
      <x:c r="J45" s="71" t="n">
        <x:v>4</x:v>
      </x:c>
      <x:c r="K45" s="71" t="n">
        <x:v>2</x:v>
      </x:c>
      <x:c r="L45" s="71" t="n">
        <x:f>G45*6+H45*4+J45*4+(6-I45)*4+(6-K45)*2</x:f>
        <x:v>70</x:v>
      </x:c>
      <x:c r="M45" s="57" t="str">
        <x:f>IF(L45&gt;=80,"P1",IF(L45&gt;=65,"P2","P3"))</x:f>
        <x:v>P2</x:v>
      </x:c>
      <x:c r="N45" s="57" t="str">
        <x:v>D2</x:v>
      </x:c>
      <x:c r="O45" s="57" t="str">
        <x:v>В очереди</x:v>
      </x:c>
      <x:c r="P45" s="72" t="str"/>
      <x:c r="Q45" s="70" t="str">
        <x:v>Больше про UX, косвенная связь с продуктом</x:v>
      </x:c>
      <x:c r="R45" s="70" t="str">
        <x:v>https://kokoc.com/blog/povedencheskie-faktory-sajta-kak-uluchshit/</x:v>
      </x:c>
    </x:row>
    <x:row r="46">
      <x:c r="A46" s="57" t="n">
        <x:v>45</x:v>
      </x:c>
      <x:c r="B46" s="70" t="str">
        <x:v>какие поведенческие факторы учитывает яндекс</x:v>
      </x:c>
      <x:c r="C46" s="70" t="str">
        <x:v>Образовательный</x:v>
      </x:c>
      <x:c r="D46" s="70" t="str">
        <x:v>Информационный</x:v>
      </x:c>
      <x:c r="E46" s="70" t="str">
        <x:v>TOFU</x:v>
      </x:c>
      <x:c r="F46" s="70" t="str">
        <x:v>FAQ/гайд</x:v>
      </x:c>
      <x:c r="G46" s="71" t="n">
        <x:v>4</x:v>
      </x:c>
      <x:c r="H46" s="71" t="n">
        <x:v>5</x:v>
      </x:c>
      <x:c r="I46" s="71" t="n">
        <x:v>5</x:v>
      </x:c>
      <x:c r="J46" s="71" t="n">
        <x:v>4</x:v>
      </x:c>
      <x:c r="K46" s="71" t="n">
        <x:v>3</x:v>
      </x:c>
      <x:c r="L46" s="71" t="n">
        <x:f>G46*6+H46*4+J46*4+(6-I46)*4+(6-K46)*2</x:f>
        <x:v>70</x:v>
      </x:c>
      <x:c r="M46" s="57" t="str">
        <x:f>IF(L46&gt;=80,"P1",IF(L46&gt;=65,"P2","P3"))</x:f>
        <x:v>P2</x:v>
      </x:c>
      <x:c r="N46" s="57" t="str">
        <x:v>D2</x:v>
      </x:c>
      <x:c r="O46" s="57" t="str">
        <x:v>В очереди</x:v>
      </x:c>
      <x:c r="P46" s="72" t="str"/>
      <x:c r="Q46" s="70" t="str">
        <x:v>Не выдавать гипотезы за официальные факты</x:v>
      </x:c>
      <x:c r="R46" s="70" t="str">
        <x:v>https://kokoc.com/blog/povedencheskie-faktory-sajta-kak-uluchshit/</x:v>
      </x:c>
    </x:row>
    <x:row r="47">
      <x:c r="A47" s="57" t="n">
        <x:v>46</x:v>
      </x:c>
      <x:c r="B47" s="70" t="str">
        <x:v>как проверить поведенческие факторы сайта</x:v>
      </x:c>
      <x:c r="C47" s="70" t="str">
        <x:v>Образовательный</x:v>
      </x:c>
      <x:c r="D47" s="70" t="str">
        <x:v>Информационно-коммерческий</x:v>
      </x:c>
      <x:c r="E47" s="70" t="str">
        <x:v>MOFU</x:v>
      </x:c>
      <x:c r="F47" s="70" t="str">
        <x:v>Инструкция</x:v>
      </x:c>
      <x:c r="G47" s="71" t="n">
        <x:v>4</x:v>
      </x:c>
      <x:c r="H47" s="71" t="n">
        <x:v>5</x:v>
      </x:c>
      <x:c r="I47" s="71" t="n">
        <x:v>4</x:v>
      </x:c>
      <x:c r="J47" s="71" t="n">
        <x:v>5</x:v>
      </x:c>
      <x:c r="K47" s="71" t="n">
        <x:v>2</x:v>
      </x:c>
      <x:c r="L47" s="71" t="n">
        <x:f>G47*6+H47*4+J47*4+(6-I47)*4+(6-K47)*2</x:f>
        <x:v>80</x:v>
      </x:c>
      <x:c r="M47" s="57" t="str">
        <x:f>IF(L47&gt;=80,"P1",IF(L47&gt;=65,"P2","P3"))</x:f>
        <x:v>P1</x:v>
      </x:c>
      <x:c r="N47" s="57" t="str">
        <x:v>D3</x:v>
      </x:c>
      <x:c r="O47" s="57" t="str">
        <x:v>В очереди</x:v>
      </x:c>
      <x:c r="P47" s="72" t="str"/>
      <x:c r="Q47" s="70" t="str">
        <x:v>Связать Метрику, Вебмастер и позиции</x:v>
      </x:c>
      <x:c r="R47" s="70" t="str">
        <x:v>https://kokoc.com/blog/povedencheskie-faktory-sajta-kak-uluchshit/</x:v>
      </x:c>
    </x:row>
    <x:row r="48">
      <x:c r="A48" s="57" t="n">
        <x:v>47</x:v>
      </x:c>
      <x:c r="B48" s="70" t="str">
        <x:v>анализ поведенческих факторов сайта</x:v>
      </x:c>
      <x:c r="C48" s="70" t="str">
        <x:v>Образовательный</x:v>
      </x:c>
      <x:c r="D48" s="70" t="str">
        <x:v>Информационно-коммерческий</x:v>
      </x:c>
      <x:c r="E48" s="70" t="str">
        <x:v>MOFU</x:v>
      </x:c>
      <x:c r="F48" s="70" t="str">
        <x:v>Инструкция</x:v>
      </x:c>
      <x:c r="G48" s="71" t="n">
        <x:v>4</x:v>
      </x:c>
      <x:c r="H48" s="71" t="n">
        <x:v>5</x:v>
      </x:c>
      <x:c r="I48" s="71" t="n">
        <x:v>4</x:v>
      </x:c>
      <x:c r="J48" s="71" t="n">
        <x:v>5</x:v>
      </x:c>
      <x:c r="K48" s="71" t="n">
        <x:v>2</x:v>
      </x:c>
      <x:c r="L48" s="71" t="n">
        <x:f>G48*6+H48*4+J48*4+(6-I48)*4+(6-K48)*2</x:f>
        <x:v>80</x:v>
      </x:c>
      <x:c r="M48" s="57" t="str">
        <x:f>IF(L48&gt;=80,"P1",IF(L48&gt;=65,"P2","P3"))</x:f>
        <x:v>P1</x:v>
      </x:c>
      <x:c r="N48" s="57" t="str">
        <x:v>D3</x:v>
      </x:c>
      <x:c r="O48" s="57" t="str">
        <x:v>В очереди</x:v>
      </x:c>
      <x:c r="P48" s="72" t="str"/>
      <x:c r="Q48" s="70" t="str">
        <x:v>Полезен для специалистов</x:v>
      </x:c>
      <x:c r="R48" s="70" t="str">
        <x:v>https://kokoc.com/blog/povedencheskie-faktory-sajta-kak-uluchshit/</x:v>
      </x:c>
    </x:row>
    <x:row r="49">
      <x:c r="A49" s="57" t="n">
        <x:v>48</x:v>
      </x:c>
      <x:c r="B49" s="70" t="str">
        <x:v>метрики поведенческих факторов</x:v>
      </x:c>
      <x:c r="C49" s="70" t="str">
        <x:v>Образовательный</x:v>
      </x:c>
      <x:c r="D49" s="70" t="str">
        <x:v>Информационный</x:v>
      </x:c>
      <x:c r="E49" s="70" t="str">
        <x:v>TOFU</x:v>
      </x:c>
      <x:c r="F49" s="70" t="str">
        <x:v>Справочник</x:v>
      </x:c>
      <x:c r="G49" s="71" t="n">
        <x:v>3</x:v>
      </x:c>
      <x:c r="H49" s="71" t="n">
        <x:v>5</x:v>
      </x:c>
      <x:c r="I49" s="71" t="n">
        <x:v>4</x:v>
      </x:c>
      <x:c r="J49" s="71" t="n">
        <x:v>4</x:v>
      </x:c>
      <x:c r="K49" s="71" t="n">
        <x:v>2</x:v>
      </x:c>
      <x:c r="L49" s="71" t="n">
        <x:f>G49*6+H49*4+J49*4+(6-I49)*4+(6-K49)*2</x:f>
        <x:v>70</x:v>
      </x:c>
      <x:c r="M49" s="57" t="str">
        <x:f>IF(L49&gt;=80,"P1",IF(L49&gt;=65,"P2","P3"))</x:f>
        <x:v>P2</x:v>
      </x:c>
      <x:c r="N49" s="57" t="str">
        <x:v>D3</x:v>
      </x:c>
      <x:c r="O49" s="57" t="str">
        <x:v>В очереди</x:v>
      </x:c>
      <x:c r="P49" s="72" t="str"/>
      <x:c r="Q49" s="70" t="str">
        <x:v>Разделить официальные данные и практические наблюдения</x:v>
      </x:c>
      <x:c r="R49" s="70" t="str">
        <x:v>https://kokoc.com/blog/povedencheskie-faktory-sajta-kak-uluchshit/</x:v>
      </x:c>
    </x:row>
    <x:row r="50">
      <x:c r="A50" s="57" t="n">
        <x:v>49</x:v>
      </x:c>
      <x:c r="B50" s="70" t="str">
        <x:v>как улучшить поведенческие факторы сайта</x:v>
      </x:c>
      <x:c r="C50" s="70" t="str">
        <x:v>Образовательный</x:v>
      </x:c>
      <x:c r="D50" s="70" t="str">
        <x:v>Информационно-коммерческий</x:v>
      </x:c>
      <x:c r="E50" s="70" t="str">
        <x:v>MOFU</x:v>
      </x:c>
      <x:c r="F50" s="70" t="str">
        <x:v>Чек-лист</x:v>
      </x:c>
      <x:c r="G50" s="71" t="n">
        <x:v>4</x:v>
      </x:c>
      <x:c r="H50" s="71" t="n">
        <x:v>5</x:v>
      </x:c>
      <x:c r="I50" s="71" t="n">
        <x:v>5</x:v>
      </x:c>
      <x:c r="J50" s="71" t="n">
        <x:v>4</x:v>
      </x:c>
      <x:c r="K50" s="71" t="n">
        <x:v>2</x:v>
      </x:c>
      <x:c r="L50" s="71" t="n">
        <x:f>G50*6+H50*4+J50*4+(6-I50)*4+(6-K50)*2</x:f>
        <x:v>72</x:v>
      </x:c>
      <x:c r="M50" s="57" t="str">
        <x:f>IF(L50&gt;=80,"P1",IF(L50&gt;=65,"P2","P3"))</x:f>
        <x:v>P2</x:v>
      </x:c>
      <x:c r="N50" s="57" t="str">
        <x:v>D4</x:v>
      </x:c>
      <x:c r="O50" s="57" t="str">
        <x:v>В очереди</x:v>
      </x:c>
      <x:c r="P50" s="72" t="str"/>
      <x:c r="Q50" s="70" t="str">
        <x:v>Высокая конкуренция, но широкая аудитория</x:v>
      </x:c>
      <x:c r="R50" s="70" t="str">
        <x:v>https://kokoc.com/blog/povedencheskie-faktory-sajta-kak-uluchshit/</x:v>
      </x:c>
    </x:row>
    <x:row r="51">
      <x:c r="A51" s="57" t="n">
        <x:v>50</x:v>
      </x:c>
      <x:c r="B51" s="70" t="str">
        <x:v>улучшение поведенческих факторов</x:v>
      </x:c>
      <x:c r="C51" s="70" t="str">
        <x:v>Образовательный</x:v>
      </x:c>
      <x:c r="D51" s="70" t="str">
        <x:v>Информационно-коммерческий</x:v>
      </x:c>
      <x:c r="E51" s="70" t="str">
        <x:v>MOFU</x:v>
      </x:c>
      <x:c r="F51" s="70" t="str">
        <x:v>Чек-лист</x:v>
      </x:c>
      <x:c r="G51" s="71" t="n">
        <x:v>4</x:v>
      </x:c>
      <x:c r="H51" s="71" t="n">
        <x:v>5</x:v>
      </x:c>
      <x:c r="I51" s="71" t="n">
        <x:v>5</x:v>
      </x:c>
      <x:c r="J51" s="71" t="n">
        <x:v>4</x:v>
      </x:c>
      <x:c r="K51" s="71" t="n">
        <x:v>2</x:v>
      </x:c>
      <x:c r="L51" s="71" t="n">
        <x:f>G51*6+H51*4+J51*4+(6-I51)*4+(6-K51)*2</x:f>
        <x:v>72</x:v>
      </x:c>
      <x:c r="M51" s="57" t="str">
        <x:f>IF(L51&gt;=80,"P1",IF(L51&gt;=65,"P2","P3"))</x:f>
        <x:v>P2</x:v>
      </x:c>
      <x:c r="N51" s="57" t="str">
        <x:v>D4</x:v>
      </x:c>
      <x:c r="O51" s="57" t="str">
        <x:v>В очереди</x:v>
      </x:c>
      <x:c r="P51" s="72" t="str"/>
      <x:c r="Q51" s="70" t="str">
        <x:v>Можно показать органические и автоматизированные подходы</x:v>
      </x:c>
      <x:c r="R51" s="70" t="str">
        <x:v>https://kokoc.com/blog/povedencheskie-faktory-sajta-kak-uluchshit/</x:v>
      </x:c>
    </x:row>
    <x:row r="52">
      <x:c r="A52" s="57" t="n">
        <x:v>51</x:v>
      </x:c>
      <x:c r="B52" s="70" t="str">
        <x:v>накрутка пф риски</x:v>
      </x:c>
      <x:c r="C52" s="70" t="str">
        <x:v>Риски / фильтры</x:v>
      </x:c>
      <x:c r="D52" s="70" t="str">
        <x:v>Информационно-коммерческий</x:v>
      </x:c>
      <x:c r="E52" s="70" t="str">
        <x:v>MOFU</x:v>
      </x:c>
      <x:c r="F52" s="70" t="str">
        <x:v>Разбор рисков</x:v>
      </x:c>
      <x:c r="G52" s="71" t="n">
        <x:v>5</x:v>
      </x:c>
      <x:c r="H52" s="71" t="n">
        <x:v>5</x:v>
      </x:c>
      <x:c r="I52" s="71" t="n">
        <x:v>4</x:v>
      </x:c>
      <x:c r="J52" s="71" t="n">
        <x:v>5</x:v>
      </x:c>
      <x:c r="K52" s="71" t="n">
        <x:v>5</x:v>
      </x:c>
      <x:c r="L52" s="71" t="n">
        <x:f>G52*6+H52*4+J52*4+(6-I52)*4+(6-K52)*2</x:f>
        <x:v>80</x:v>
      </x:c>
      <x:c r="M52" s="57" t="str">
        <x:f>IF(L52&gt;=80,"P1",IF(L52&gt;=65,"P2","P3"))</x:f>
        <x:v>P1</x:v>
      </x:c>
      <x:c r="N52" s="57" t="str">
        <x:v>E1</x:v>
      </x:c>
      <x:c r="O52" s="57" t="str">
        <x:v>В очереди</x:v>
      </x:c>
      <x:c r="P52" s="72" t="str"/>
      <x:c r="Q52" s="70" t="str">
        <x:v>Высокая ценность доверия, обязательна честность</x:v>
      </x:c>
      <x:c r="R52" s="70" t="str">
        <x:v>https://tools.pixelplus.ru/optimization/filtr-za-nakrutku-pf-yandex</x:v>
      </x:c>
    </x:row>
    <x:row r="53">
      <x:c r="A53" s="57" t="n">
        <x:v>52</x:v>
      </x:c>
      <x:c r="B53" s="70" t="str">
        <x:v>накрутка поведенческих факторов последствия</x:v>
      </x:c>
      <x:c r="C53" s="70" t="str">
        <x:v>Риски / фильтры</x:v>
      </x:c>
      <x:c r="D53" s="70" t="str">
        <x:v>Информационно-коммерческий</x:v>
      </x:c>
      <x:c r="E53" s="70" t="str">
        <x:v>MOFU</x:v>
      </x:c>
      <x:c r="F53" s="70" t="str">
        <x:v>Разбор рисков</x:v>
      </x:c>
      <x:c r="G53" s="71" t="n">
        <x:v>5</x:v>
      </x:c>
      <x:c r="H53" s="71" t="n">
        <x:v>5</x:v>
      </x:c>
      <x:c r="I53" s="71" t="n">
        <x:v>4</x:v>
      </x:c>
      <x:c r="J53" s="71" t="n">
        <x:v>5</x:v>
      </x:c>
      <x:c r="K53" s="71" t="n">
        <x:v>5</x:v>
      </x:c>
      <x:c r="L53" s="71" t="n">
        <x:f>G53*6+H53*4+J53*4+(6-I53)*4+(6-K53)*2</x:f>
        <x:v>80</x:v>
      </x:c>
      <x:c r="M53" s="57" t="str">
        <x:f>IF(L53&gt;=80,"P1",IF(L53&gt;=65,"P2","P3"))</x:f>
        <x:v>P1</x:v>
      </x:c>
      <x:c r="N53" s="57" t="str">
        <x:v>E1</x:v>
      </x:c>
      <x:c r="O53" s="57" t="str">
        <x:v>В очереди</x:v>
      </x:c>
      <x:c r="P53" s="72" t="str"/>
      <x:c r="Q53" s="70" t="str">
        <x:v>Не обещать безопасность</x:v>
      </x:c>
      <x:c r="R53" s="70" t="str">
        <x:v>https://tools.pixelplus.ru/optimization/filtr-za-nakrutku-pf-yandex</x:v>
      </x:c>
    </x:row>
    <x:row r="54">
      <x:c r="A54" s="57" t="n">
        <x:v>53</x:v>
      </x:c>
      <x:c r="B54" s="70" t="str">
        <x:v>фильтр за накрутку пф яндекс</x:v>
      </x:c>
      <x:c r="C54" s="70" t="str">
        <x:v>Риски / фильтры</x:v>
      </x:c>
      <x:c r="D54" s="70" t="str">
        <x:v>Информационный</x:v>
      </x:c>
      <x:c r="E54" s="70" t="str">
        <x:v>MOFU</x:v>
      </x:c>
      <x:c r="F54" s="70" t="str">
        <x:v>Диагностика</x:v>
      </x:c>
      <x:c r="G54" s="71" t="n">
        <x:v>4</x:v>
      </x:c>
      <x:c r="H54" s="71" t="n">
        <x:v>5</x:v>
      </x:c>
      <x:c r="I54" s="71" t="n">
        <x:v>4</x:v>
      </x:c>
      <x:c r="J54" s="71" t="n">
        <x:v>4</x:v>
      </x:c>
      <x:c r="K54" s="71" t="n">
        <x:v>5</x:v>
      </x:c>
      <x:c r="L54" s="71" t="n">
        <x:f>G54*6+H54*4+J54*4+(6-I54)*4+(6-K54)*2</x:f>
        <x:v>70</x:v>
      </x:c>
      <x:c r="M54" s="57" t="str">
        <x:f>IF(L54&gt;=80,"P1",IF(L54&gt;=65,"P2","P3"))</x:f>
        <x:v>P2</x:v>
      </x:c>
      <x:c r="N54" s="57" t="str">
        <x:v>E2</x:v>
      </x:c>
      <x:c r="O54" s="57" t="str">
        <x:v>В очереди</x:v>
      </x:c>
      <x:c r="P54" s="72" t="str"/>
      <x:c r="Q54" s="70" t="str">
        <x:v>Не давать способы обхода фильтра</x:v>
      </x:c>
      <x:c r="R54" s="70" t="str">
        <x:v>https://tools.pixelplus.ru/optimization/filtr-za-nakrutku-pf-yandex</x:v>
      </x:c>
    </x:row>
    <x:row r="55">
      <x:c r="A55" s="57" t="n">
        <x:v>54</x:v>
      </x:c>
      <x:c r="B55" s="70" t="str">
        <x:v>санкции за накрутку поведенческих факторов</x:v>
      </x:c>
      <x:c r="C55" s="70" t="str">
        <x:v>Риски / фильтры</x:v>
      </x:c>
      <x:c r="D55" s="70" t="str">
        <x:v>Информационный</x:v>
      </x:c>
      <x:c r="E55" s="70" t="str">
        <x:v>MOFU</x:v>
      </x:c>
      <x:c r="F55" s="70" t="str">
        <x:v>Разбор</x:v>
      </x:c>
      <x:c r="G55" s="71" t="n">
        <x:v>4</x:v>
      </x:c>
      <x:c r="H55" s="71" t="n">
        <x:v>5</x:v>
      </x:c>
      <x:c r="I55" s="71" t="n">
        <x:v>4</x:v>
      </x:c>
      <x:c r="J55" s="71" t="n">
        <x:v>4</x:v>
      </x:c>
      <x:c r="K55" s="71" t="n">
        <x:v>5</x:v>
      </x:c>
      <x:c r="L55" s="71" t="n">
        <x:f>G55*6+H55*4+J55*4+(6-I55)*4+(6-K55)*2</x:f>
        <x:v>70</x:v>
      </x:c>
      <x:c r="M55" s="57" t="str">
        <x:f>IF(L55&gt;=80,"P1",IF(L55&gt;=65,"P2","P3"))</x:f>
        <x:v>P2</x:v>
      </x:c>
      <x:c r="N55" s="57" t="str">
        <x:v>E2</x:v>
      </x:c>
      <x:c r="O55" s="57" t="str">
        <x:v>В очереди</x:v>
      </x:c>
      <x:c r="P55" s="72" t="str"/>
      <x:c r="Q55" s="70" t="str">
        <x:v>Сильная тревожная потребность</x:v>
      </x:c>
      <x:c r="R55" s="70" t="str">
        <x:v>https://tools.pixelplus.ru/optimization/filtr-za-nakrutku-pf-yandex</x:v>
      </x:c>
    </x:row>
    <x:row r="56">
      <x:c r="A56" s="57" t="n">
        <x:v>55</x:v>
      </x:c>
      <x:c r="B56" s="70" t="str">
        <x:v>безопасная накрутка пф</x:v>
      </x:c>
      <x:c r="C56" s="70" t="str">
        <x:v>Риски / фильтры</x:v>
      </x:c>
      <x:c r="D56" s="70" t="str">
        <x:v>Коммерческий</x:v>
      </x:c>
      <x:c r="E56" s="70" t="str">
        <x:v>BOFU</x:v>
      </x:c>
      <x:c r="F56" s="70" t="str">
        <x:v>Разбор критериев</x:v>
      </x:c>
      <x:c r="G56" s="71" t="n">
        <x:v>5</x:v>
      </x:c>
      <x:c r="H56" s="71" t="n">
        <x:v>4</x:v>
      </x:c>
      <x:c r="I56" s="71" t="n">
        <x:v>5</x:v>
      </x:c>
      <x:c r="J56" s="71" t="n">
        <x:v>4</x:v>
      </x:c>
      <x:c r="K56" s="71" t="n">
        <x:v>5</x:v>
      </x:c>
      <x:c r="L56" s="71" t="n">
        <x:f>G56*6+H56*4+J56*4+(6-I56)*4+(6-K56)*2</x:f>
        <x:v>68</x:v>
      </x:c>
      <x:c r="M56" s="57" t="str">
        <x:f>IF(L56&gt;=80,"P1",IF(L56&gt;=65,"P2","P3"))</x:f>
        <x:v>P2</x:v>
      </x:c>
      <x:c r="N56" s="57" t="str">
        <x:v>E3</x:v>
      </x:c>
      <x:c r="O56" s="57" t="str">
        <x:v>В очереди</x:v>
      </x:c>
      <x:c r="P56" s="72" t="str"/>
      <x:c r="Q56" s="70" t="str">
        <x:v>Не использовать обещание «безопасно»</x:v>
      </x:c>
      <x:c r="R56" s="70" t="str">
        <x:v>https://tools.pixelplus.ru/optimization/filtr-za-nakrutku-pf-yandex</x:v>
      </x:c>
    </x:row>
    <x:row r="57">
      <x:c r="A57" s="57" t="n">
        <x:v>56</x:v>
      </x:c>
      <x:c r="B57" s="70" t="str">
        <x:v>накрутка пф без риска</x:v>
      </x:c>
      <x:c r="C57" s="70" t="str">
        <x:v>Риски / фильтры</x:v>
      </x:c>
      <x:c r="D57" s="70" t="str">
        <x:v>Коммерческий</x:v>
      </x:c>
      <x:c r="E57" s="70" t="str">
        <x:v>BOFU</x:v>
      </x:c>
      <x:c r="F57" s="70" t="str">
        <x:v>Разбор критериев</x:v>
      </x:c>
      <x:c r="G57" s="71" t="n">
        <x:v>5</x:v>
      </x:c>
      <x:c r="H57" s="71" t="n">
        <x:v>4</x:v>
      </x:c>
      <x:c r="I57" s="71" t="n">
        <x:v>5</x:v>
      </x:c>
      <x:c r="J57" s="71" t="n">
        <x:v>4</x:v>
      </x:c>
      <x:c r="K57" s="71" t="n">
        <x:v>5</x:v>
      </x:c>
      <x:c r="L57" s="71" t="n">
        <x:f>G57*6+H57*4+J57*4+(6-I57)*4+(6-K57)*2</x:f>
        <x:v>68</x:v>
      </x:c>
      <x:c r="M57" s="57" t="str">
        <x:f>IF(L57&gt;=80,"P1",IF(L57&gt;=65,"P2","P3"))</x:f>
        <x:v>P2</x:v>
      </x:c>
      <x:c r="N57" s="57" t="str">
        <x:v>E3</x:v>
      </x:c>
      <x:c r="O57" s="57" t="str">
        <x:v>В очереди</x:v>
      </x:c>
      <x:c r="P57" s="72" t="str"/>
      <x:c r="Q57" s="70" t="str">
        <x:v>Отвечать: нулевой риск обещать нельзя</x:v>
      </x:c>
      <x:c r="R57" s="70" t="str">
        <x:v>https://tools.pixelplus.ru/optimization/filtr-za-nakrutku-pf-yandex</x:v>
      </x:c>
    </x:row>
    <x:row r="58">
      <x:c r="A58" s="57" t="n">
        <x:v>57</x:v>
      </x:c>
      <x:c r="B58" s="70" t="str">
        <x:v>можно ли накручивать поведенческие факторы</x:v>
      </x:c>
      <x:c r="C58" s="70" t="str">
        <x:v>Риски / фильтры</x:v>
      </x:c>
      <x:c r="D58" s="70" t="str">
        <x:v>Информационно-коммерческий</x:v>
      </x:c>
      <x:c r="E58" s="70" t="str">
        <x:v>MOFU</x:v>
      </x:c>
      <x:c r="F58" s="70" t="str">
        <x:v>FAQ</x:v>
      </x:c>
      <x:c r="G58" s="71" t="n">
        <x:v>5</x:v>
      </x:c>
      <x:c r="H58" s="71" t="n">
        <x:v>5</x:v>
      </x:c>
      <x:c r="I58" s="71" t="n">
        <x:v>4</x:v>
      </x:c>
      <x:c r="J58" s="71" t="n">
        <x:v>5</x:v>
      </x:c>
      <x:c r="K58" s="71" t="n">
        <x:v>5</x:v>
      </x:c>
      <x:c r="L58" s="71" t="n">
        <x:f>G58*6+H58*4+J58*4+(6-I58)*4+(6-K58)*2</x:f>
        <x:v>80</x:v>
      </x:c>
      <x:c r="M58" s="57" t="str">
        <x:f>IF(L58&gt;=80,"P1",IF(L58&gt;=65,"P2","P3"))</x:f>
        <x:v>P1</x:v>
      </x:c>
      <x:c r="N58" s="57" t="str">
        <x:v>E3</x:v>
      </x:c>
      <x:c r="O58" s="57" t="str">
        <x:v>В очереди</x:v>
      </x:c>
      <x:c r="P58" s="72" t="str"/>
      <x:c r="Q58" s="70" t="str">
        <x:v>Хороший честный вход в тему</x:v>
      </x:c>
      <x:c r="R58" s="70" t="str">
        <x:v>https://tools.pixelplus.ru/optimization/filtr-za-nakrutku-pf-yandex</x:v>
      </x:c>
    </x:row>
    <x:row r="59">
      <x:c r="A59" s="57" t="n">
        <x:v>58</x:v>
      </x:c>
      <x:c r="B59" s="70" t="str">
        <x:v>как понять что сайт под фильтром пф</x:v>
      </x:c>
      <x:c r="C59" s="70" t="str">
        <x:v>Риски / фильтры</x:v>
      </x:c>
      <x:c r="D59" s="70" t="str">
        <x:v>Информационный</x:v>
      </x:c>
      <x:c r="E59" s="70" t="str">
        <x:v>MOFU</x:v>
      </x:c>
      <x:c r="F59" s="70" t="str">
        <x:v>Диагностика</x:v>
      </x:c>
      <x:c r="G59" s="71" t="n">
        <x:v>3</x:v>
      </x:c>
      <x:c r="H59" s="71" t="n">
        <x:v>5</x:v>
      </x:c>
      <x:c r="I59" s="71" t="n">
        <x:v>3</x:v>
      </x:c>
      <x:c r="J59" s="71" t="n">
        <x:v>4</x:v>
      </x:c>
      <x:c r="K59" s="71" t="n">
        <x:v>5</x:v>
      </x:c>
      <x:c r="L59" s="71" t="n">
        <x:f>G59*6+H59*4+J59*4+(6-I59)*4+(6-K59)*2</x:f>
        <x:v>68</x:v>
      </x:c>
      <x:c r="M59" s="57" t="str">
        <x:f>IF(L59&gt;=80,"P1",IF(L59&gt;=65,"P2","P3"))</x:f>
        <x:v>P2</x:v>
      </x:c>
      <x:c r="N59" s="57" t="str">
        <x:v>E4</x:v>
      </x:c>
      <x:c r="O59" s="57" t="str">
        <x:v>В очереди</x:v>
      </x:c>
      <x:c r="P59" s="72" t="str"/>
      <x:c r="Q59" s="70" t="str">
        <x:v>Требует надежной методики</x:v>
      </x:c>
      <x:c r="R59" s="70" t="str">
        <x:v>https://tools.pixelplus.ru/optimization/filtr-za-nakrutku-pf-yandex</x:v>
      </x:c>
    </x:row>
    <x:row r="60">
      <x:c r="A60" s="57" t="n">
        <x:v>59</x:v>
      </x:c>
      <x:c r="B60" s="70" t="str">
        <x:v>что делать после фильтра за пф</x:v>
      </x:c>
      <x:c r="C60" s="70" t="str">
        <x:v>Риски / фильтры</x:v>
      </x:c>
      <x:c r="D60" s="70" t="str">
        <x:v>Информационный</x:v>
      </x:c>
      <x:c r="E60" s="70" t="str">
        <x:v>MOFU</x:v>
      </x:c>
      <x:c r="F60" s="70" t="str">
        <x:v>Восстановление</x:v>
      </x:c>
      <x:c r="G60" s="71" t="n">
        <x:v>2</x:v>
      </x:c>
      <x:c r="H60" s="71" t="n">
        <x:v>4</x:v>
      </x:c>
      <x:c r="I60" s="71" t="n">
        <x:v>4</x:v>
      </x:c>
      <x:c r="J60" s="71" t="n">
        <x:v>3</x:v>
      </x:c>
      <x:c r="K60" s="71" t="n">
        <x:v>5</x:v>
      </x:c>
      <x:c r="L60" s="71" t="n">
        <x:f>G60*6+H60*4+J60*4+(6-I60)*4+(6-K60)*2</x:f>
        <x:v>50</x:v>
      </x:c>
      <x:c r="M60" s="57" t="str">
        <x:f>IF(L60&gt;=80,"P1",IF(L60&gt;=65,"P2","P3"))</x:f>
        <x:v>P3</x:v>
      </x:c>
      <x:c r="N60" s="57" t="str">
        <x:v>E4</x:v>
      </x:c>
      <x:c r="O60" s="57" t="str">
        <x:v>В очереди</x:v>
      </x:c>
      <x:c r="P60" s="72" t="str"/>
      <x:c r="Q60" s="70" t="str">
        <x:v>Не основной продуктовый запрос</x:v>
      </x:c>
      <x:c r="R60" s="70" t="str">
        <x:v>https://tools.pixelplus.ru/optimization/filtr-za-nakrutku-pf-yandex</x:v>
      </x:c>
    </x:row>
    <x:row r="61">
      <x:c r="A61" s="57" t="n">
        <x:v>60</x:v>
      </x:c>
      <x:c r="B61" s="70" t="str">
        <x:v>сайт не выходит в топ яндекса</x:v>
      </x:c>
      <x:c r="C61" s="70" t="str">
        <x:v>Проблема позиций</x:v>
      </x:c>
      <x:c r="D61" s="70" t="str">
        <x:v>Проблемный</x:v>
      </x:c>
      <x:c r="E61" s="70" t="str">
        <x:v>MOFU</x:v>
      </x:c>
      <x:c r="F61" s="70" t="str">
        <x:v>Диагностика</x:v>
      </x:c>
      <x:c r="G61" s="71" t="n">
        <x:v>4</x:v>
      </x:c>
      <x:c r="H61" s="71" t="n">
        <x:v>5</x:v>
      </x:c>
      <x:c r="I61" s="71" t="n">
        <x:v>5</x:v>
      </x:c>
      <x:c r="J61" s="71" t="n">
        <x:v>4</x:v>
      </x:c>
      <x:c r="K61" s="71" t="n">
        <x:v>2</x:v>
      </x:c>
      <x:c r="L61" s="71" t="n">
        <x:f>G61*6+H61*4+J61*4+(6-I61)*4+(6-K61)*2</x:f>
        <x:v>72</x:v>
      </x:c>
      <x:c r="M61" s="57" t="str">
        <x:f>IF(L61&gt;=80,"P1",IF(L61&gt;=65,"P2","P3"))</x:f>
        <x:v>P2</x:v>
      </x:c>
      <x:c r="N61" s="57" t="str">
        <x:v>F1</x:v>
      </x:c>
      <x:c r="O61" s="57" t="str">
        <x:v>В очереди</x:v>
      </x:c>
      <x:c r="P61" s="72" t="str"/>
      <x:c r="Q61" s="70" t="str">
        <x:v>Широкий спрос, хорош для владельцев бизнеса</x:v>
      </x:c>
      <x:c r="R61" s="70" t="str">
        <x:v>https://yandex.ru/support/webmaster/ru/recommendations/targeting?lang=ru</x:v>
      </x:c>
    </x:row>
    <x:row r="62">
      <x:c r="A62" s="57" t="n">
        <x:v>61</x:v>
      </x:c>
      <x:c r="B62" s="70" t="str">
        <x:v>почему позиции сайта не растут</x:v>
      </x:c>
      <x:c r="C62" s="70" t="str">
        <x:v>Проблема позиций</x:v>
      </x:c>
      <x:c r="D62" s="70" t="str">
        <x:v>Проблемный</x:v>
      </x:c>
      <x:c r="E62" s="70" t="str">
        <x:v>MOFU</x:v>
      </x:c>
      <x:c r="F62" s="70" t="str">
        <x:v>Диагностика</x:v>
      </x:c>
      <x:c r="G62" s="71" t="n">
        <x:v>4</x:v>
      </x:c>
      <x:c r="H62" s="71" t="n">
        <x:v>5</x:v>
      </x:c>
      <x:c r="I62" s="71" t="n">
        <x:v>5</x:v>
      </x:c>
      <x:c r="J62" s="71" t="n">
        <x:v>4</x:v>
      </x:c>
      <x:c r="K62" s="71" t="n">
        <x:v>2</x:v>
      </x:c>
      <x:c r="L62" s="71" t="n">
        <x:f>G62*6+H62*4+J62*4+(6-I62)*4+(6-K62)*2</x:f>
        <x:v>72</x:v>
      </x:c>
      <x:c r="M62" s="57" t="str">
        <x:f>IF(L62&gt;=80,"P1",IF(L62&gt;=65,"P2","P3"))</x:f>
        <x:v>P2</x:v>
      </x:c>
      <x:c r="N62" s="57" t="str">
        <x:v>F1</x:v>
      </x:c>
      <x:c r="O62" s="57" t="str">
        <x:v>В очереди</x:v>
      </x:c>
      <x:c r="P62" s="72" t="str"/>
      <x:c r="Q62" s="70" t="str">
        <x:v>Естественный мост к ПФ после проверки базы</x:v>
      </x:c>
      <x:c r="R62" s="70" t="str">
        <x:v>https://yandex.ru/support/webmaster/ru/recommendations/targeting?lang=ru</x:v>
      </x:c>
    </x:row>
    <x:row r="63">
      <x:c r="A63" s="57" t="n">
        <x:v>62</x:v>
      </x:c>
      <x:c r="B63" s="70" t="str">
        <x:v>сайт застрял в топ 20</x:v>
      </x:c>
      <x:c r="C63" s="70" t="str">
        <x:v>Проблема позиций</x:v>
      </x:c>
      <x:c r="D63" s="70" t="str">
        <x:v>Проблемный</x:v>
      </x:c>
      <x:c r="E63" s="70" t="str">
        <x:v>MOFU</x:v>
      </x:c>
      <x:c r="F63" s="70" t="str">
        <x:v>Диагностика</x:v>
      </x:c>
      <x:c r="G63" s="71" t="n">
        <x:v>5</x:v>
      </x:c>
      <x:c r="H63" s="71" t="n">
        <x:v>5</x:v>
      </x:c>
      <x:c r="I63" s="71" t="n">
        <x:v>3</x:v>
      </x:c>
      <x:c r="J63" s="71" t="n">
        <x:v>5</x:v>
      </x:c>
      <x:c r="K63" s="71" t="n">
        <x:v>3</x:v>
      </x:c>
      <x:c r="L63" s="71" t="n">
        <x:f>G63*6+H63*4+J63*4+(6-I63)*4+(6-K63)*2</x:f>
        <x:v>88</x:v>
      </x:c>
      <x:c r="M63" s="57" t="str">
        <x:f>IF(L63&gt;=80,"P1",IF(L63&gt;=65,"P2","P3"))</x:f>
        <x:v>P1</x:v>
      </x:c>
      <x:c r="N63" s="57" t="str">
        <x:v>F2</x:v>
      </x:c>
      <x:c r="O63" s="57" t="str">
        <x:v>В очереди</x:v>
      </x:c>
      <x:c r="P63" s="72" t="str"/>
      <x:c r="Q63" s="70" t="str">
        <x:v>Высокая продуктовая близость</x:v>
      </x:c>
      <x:c r="R63" s="70" t="str">
        <x:v>https://yandex.ru/support/webmaster/ru/recommendations/targeting?lang=ru</x:v>
      </x:c>
    </x:row>
    <x:row r="64">
      <x:c r="A64" s="57" t="n">
        <x:v>63</x:v>
      </x:c>
      <x:c r="B64" s="70" t="str">
        <x:v>сайт застрял на второй странице яндекса</x:v>
      </x:c>
      <x:c r="C64" s="70" t="str">
        <x:v>Проблема позиций</x:v>
      </x:c>
      <x:c r="D64" s="70" t="str">
        <x:v>Проблемный</x:v>
      </x:c>
      <x:c r="E64" s="70" t="str">
        <x:v>MOFU</x:v>
      </x:c>
      <x:c r="F64" s="70" t="str">
        <x:v>Диагностика</x:v>
      </x:c>
      <x:c r="G64" s="71" t="n">
        <x:v>5</x:v>
      </x:c>
      <x:c r="H64" s="71" t="n">
        <x:v>5</x:v>
      </x:c>
      <x:c r="I64" s="71" t="n">
        <x:v>3</x:v>
      </x:c>
      <x:c r="J64" s="71" t="n">
        <x:v>5</x:v>
      </x:c>
      <x:c r="K64" s="71" t="n">
        <x:v>3</x:v>
      </x:c>
      <x:c r="L64" s="71" t="n">
        <x:f>G64*6+H64*4+J64*4+(6-I64)*4+(6-K64)*2</x:f>
        <x:v>88</x:v>
      </x:c>
      <x:c r="M64" s="57" t="str">
        <x:f>IF(L64&gt;=80,"P1",IF(L64&gt;=65,"P2","P3"))</x:f>
        <x:v>P1</x:v>
      </x:c>
      <x:c r="N64" s="57" t="str">
        <x:v>F2</x:v>
      </x:c>
      <x:c r="O64" s="57" t="str">
        <x:v>В очереди</x:v>
      </x:c>
      <x:c r="P64" s="72" t="str"/>
      <x:c r="Q64" s="70" t="str">
        <x:v>Сильный long-tail</x:v>
      </x:c>
      <x:c r="R64" s="70" t="str">
        <x:v>https://yandex.ru/support/webmaster/ru/recommendations/targeting?lang=ru</x:v>
      </x:c>
    </x:row>
    <x:row r="65">
      <x:c r="A65" s="57" t="n">
        <x:v>64</x:v>
      </x:c>
      <x:c r="B65" s="70" t="str">
        <x:v>как поднять позиции сайта в яндексе</x:v>
      </x:c>
      <x:c r="C65" s="70" t="str">
        <x:v>Проблема позиций</x:v>
      </x:c>
      <x:c r="D65" s="70" t="str">
        <x:v>Информационно-коммерческий</x:v>
      </x:c>
      <x:c r="E65" s="70" t="str">
        <x:v>MOFU</x:v>
      </x:c>
      <x:c r="F65" s="70" t="str">
        <x:v>Руководство</x:v>
      </x:c>
      <x:c r="G65" s="71" t="n">
        <x:v>4</x:v>
      </x:c>
      <x:c r="H65" s="71" t="n">
        <x:v>5</x:v>
      </x:c>
      <x:c r="I65" s="71" t="n">
        <x:v>5</x:v>
      </x:c>
      <x:c r="J65" s="71" t="n">
        <x:v>4</x:v>
      </x:c>
      <x:c r="K65" s="71" t="n">
        <x:v>2</x:v>
      </x:c>
      <x:c r="L65" s="71" t="n">
        <x:f>G65*6+H65*4+J65*4+(6-I65)*4+(6-K65)*2</x:f>
        <x:v>72</x:v>
      </x:c>
      <x:c r="M65" s="57" t="str">
        <x:f>IF(L65&gt;=80,"P1",IF(L65&gt;=65,"P2","P3"))</x:f>
        <x:v>P2</x:v>
      </x:c>
      <x:c r="N65" s="57" t="str">
        <x:v>F3</x:v>
      </x:c>
      <x:c r="O65" s="57" t="str">
        <x:v>В очереди</x:v>
      </x:c>
      <x:c r="P65" s="72" t="str"/>
      <x:c r="Q65" s="70" t="str">
        <x:v>Очень широкая конкуренция</x:v>
      </x:c>
      <x:c r="R65" s="70" t="str">
        <x:v>https://yandex.ru/support/webmaster/ru/recommendations/targeting?lang=ru</x:v>
      </x:c>
    </x:row>
    <x:row r="66">
      <x:c r="A66" s="57" t="n">
        <x:v>65</x:v>
      </x:c>
      <x:c r="B66" s="70" t="str">
        <x:v>как вывести сайт в топ яндекса</x:v>
      </x:c>
      <x:c r="C66" s="70" t="str">
        <x:v>Проблема позиций</x:v>
      </x:c>
      <x:c r="D66" s="70" t="str">
        <x:v>Информационно-коммерческий</x:v>
      </x:c>
      <x:c r="E66" s="70" t="str">
        <x:v>MOFU</x:v>
      </x:c>
      <x:c r="F66" s="70" t="str">
        <x:v>Руководство</x:v>
      </x:c>
      <x:c r="G66" s="71" t="n">
        <x:v>4</x:v>
      </x:c>
      <x:c r="H66" s="71" t="n">
        <x:v>5</x:v>
      </x:c>
      <x:c r="I66" s="71" t="n">
        <x:v>5</x:v>
      </x:c>
      <x:c r="J66" s="71" t="n">
        <x:v>4</x:v>
      </x:c>
      <x:c r="K66" s="71" t="n">
        <x:v>3</x:v>
      </x:c>
      <x:c r="L66" s="71" t="n">
        <x:f>G66*6+H66*4+J66*4+(6-I66)*4+(6-K66)*2</x:f>
        <x:v>70</x:v>
      </x:c>
      <x:c r="M66" s="57" t="str">
        <x:f>IF(L66&gt;=80,"P1",IF(L66&gt;=65,"P2","P3"))</x:f>
        <x:v>P2</x:v>
      </x:c>
      <x:c r="N66" s="57" t="str">
        <x:v>F3</x:v>
      </x:c>
      <x:c r="O66" s="57" t="str">
        <x:v>В очереди</x:v>
      </x:c>
      <x:c r="P66" s="72" t="str"/>
      <x:c r="Q66" s="70" t="str">
        <x:v>Не обещать гарантированный ТОП</x:v>
      </x:c>
      <x:c r="R66" s="70" t="str">
        <x:v>https://yandex.ru/support/webmaster/ru/recommendations/targeting?lang=ru</x:v>
      </x:c>
    </x:row>
    <x:row r="67">
      <x:c r="A67" s="57" t="n">
        <x:v>66</x:v>
      </x:c>
      <x:c r="B67" s="70" t="str">
        <x:v>seo не дает результата</x:v>
      </x:c>
      <x:c r="C67" s="70" t="str">
        <x:v>Проблема позиций</x:v>
      </x:c>
      <x:c r="D67" s="70" t="str">
        <x:v>Проблемный</x:v>
      </x:c>
      <x:c r="E67" s="70" t="str">
        <x:v>MOFU</x:v>
      </x:c>
      <x:c r="F67" s="70" t="str">
        <x:v>Диагностика</x:v>
      </x:c>
      <x:c r="G67" s="71" t="n">
        <x:v>3</x:v>
      </x:c>
      <x:c r="H67" s="71" t="n">
        <x:v>5</x:v>
      </x:c>
      <x:c r="I67" s="71" t="n">
        <x:v>4</x:v>
      </x:c>
      <x:c r="J67" s="71" t="n">
        <x:v>4</x:v>
      </x:c>
      <x:c r="K67" s="71" t="n">
        <x:v>2</x:v>
      </x:c>
      <x:c r="L67" s="71" t="n">
        <x:f>G67*6+H67*4+J67*4+(6-I67)*4+(6-K67)*2</x:f>
        <x:v>70</x:v>
      </x:c>
      <x:c r="M67" s="57" t="str">
        <x:f>IF(L67&gt;=80,"P1",IF(L67&gt;=65,"P2","P3"))</x:f>
        <x:v>P2</x:v>
      </x:c>
      <x:c r="N67" s="57" t="str">
        <x:v>F4</x:v>
      </x:c>
      <x:c r="O67" s="57" t="str">
        <x:v>В очереди</x:v>
      </x:c>
      <x:c r="P67" s="72" t="str"/>
      <x:c r="Q67" s="70" t="str">
        <x:v>Подходит бизнес-аудитории</x:v>
      </x:c>
      <x:c r="R67" s="70" t="str">
        <x:v>https://yandex.ru/support/webmaster/ru/recommendations/targeting?lang=ru</x:v>
      </x:c>
    </x:row>
    <x:row r="68">
      <x:c r="A68" s="57" t="n">
        <x:v>67</x:v>
      </x:c>
      <x:c r="B68" s="70" t="str">
        <x:v>позиции выросли а трафика нет</x:v>
      </x:c>
      <x:c r="C68" s="70" t="str">
        <x:v>Проблема позиций</x:v>
      </x:c>
      <x:c r="D68" s="70" t="str">
        <x:v>Проблемный</x:v>
      </x:c>
      <x:c r="E68" s="70" t="str">
        <x:v>MOFU</x:v>
      </x:c>
      <x:c r="F68" s="70" t="str">
        <x:v>Диагностика</x:v>
      </x:c>
      <x:c r="G68" s="71" t="n">
        <x:v>3</x:v>
      </x:c>
      <x:c r="H68" s="71" t="n">
        <x:v>5</x:v>
      </x:c>
      <x:c r="I68" s="71" t="n">
        <x:v>3</x:v>
      </x:c>
      <x:c r="J68" s="71" t="n">
        <x:v>5</x:v>
      </x:c>
      <x:c r="K68" s="71" t="n">
        <x:v>2</x:v>
      </x:c>
      <x:c r="L68" s="71" t="n">
        <x:f>G68*6+H68*4+J68*4+(6-I68)*4+(6-K68)*2</x:f>
        <x:v>78</x:v>
      </x:c>
      <x:c r="M68" s="57" t="str">
        <x:f>IF(L68&gt;=80,"P1",IF(L68&gt;=65,"P2","P3"))</x:f>
        <x:v>P2</x:v>
      </x:c>
      <x:c r="N68" s="57" t="str">
        <x:v>F4</x:v>
      </x:c>
      <x:c r="O68" s="57" t="str">
        <x:v>В очереди</x:v>
      </x:c>
      <x:c r="P68" s="72" t="str"/>
      <x:c r="Q68" s="70" t="str">
        <x:v>Уже близко к статье Sostav</x:v>
      </x:c>
      <x:c r="R68" s="70" t="str">
        <x:v>https://yandex.ru/support/webmaster/ru/recommendations/targeting?lang=ru</x:v>
      </x:c>
    </x:row>
    <x:row r="69">
      <x:c r="A69" s="57" t="n">
        <x:v>68</x:v>
      </x:c>
      <x:c r="B69" s="70" t="str">
        <x:v>трафик растет а продаж нет</x:v>
      </x:c>
      <x:c r="C69" s="70" t="str">
        <x:v>Проблема позиций</x:v>
      </x:c>
      <x:c r="D69" s="70" t="str">
        <x:v>Проблемный</x:v>
      </x:c>
      <x:c r="E69" s="70" t="str">
        <x:v>MOFU</x:v>
      </x:c>
      <x:c r="F69" s="70" t="str">
        <x:v>Диагностика</x:v>
      </x:c>
      <x:c r="G69" s="71" t="n">
        <x:v>2</x:v>
      </x:c>
      <x:c r="H69" s="71" t="n">
        <x:v>5</x:v>
      </x:c>
      <x:c r="I69" s="71" t="n">
        <x:v>4</x:v>
      </x:c>
      <x:c r="J69" s="71" t="n">
        <x:v>4</x:v>
      </x:c>
      <x:c r="K69" s="71" t="n">
        <x:v>1</x:v>
      </x:c>
      <x:c r="L69" s="71" t="n">
        <x:f>G69*6+H69*4+J69*4+(6-I69)*4+(6-K69)*2</x:f>
        <x:v>66</x:v>
      </x:c>
      <x:c r="M69" s="57" t="str">
        <x:f>IF(L69&gt;=80,"P1",IF(L69&gt;=65,"P2","P3"))</x:f>
        <x:v>P2</x:v>
      </x:c>
      <x:c r="N69" s="57" t="str">
        <x:v>F4</x:v>
      </x:c>
      <x:c r="O69" s="57" t="str">
        <x:v>В очереди</x:v>
      </x:c>
      <x:c r="P69" s="72" t="str"/>
      <x:c r="Q69" s="70" t="str">
        <x:v>Уже покрыто Sostav; не приоритет для новой статьи</x:v>
      </x:c>
      <x:c r="R69" s="70" t="str">
        <x:v>https://yandex.ru/support/webmaster/ru/recommendations/targeting?lang=ru</x:v>
      </x:c>
    </x:row>
    <x:row r="70">
      <x:c r="A70" s="57" t="n">
        <x:v>69</x:v>
      </x:c>
      <x:c r="B70" s="70" t="str">
        <x:v>как выбрать запросы для накрутки пф</x:v>
      </x:c>
      <x:c r="C70" s="70" t="str">
        <x:v>Запросы / запуск</x:v>
      </x:c>
      <x:c r="D70" s="70" t="str">
        <x:v>Информационно-коммерческий</x:v>
      </x:c>
      <x:c r="E70" s="70" t="str">
        <x:v>MOFU</x:v>
      </x:c>
      <x:c r="F70" s="70" t="str">
        <x:v>Инструкция</x:v>
      </x:c>
      <x:c r="G70" s="71" t="n">
        <x:v>5</x:v>
      </x:c>
      <x:c r="H70" s="71" t="n">
        <x:v>5</x:v>
      </x:c>
      <x:c r="I70" s="71" t="n">
        <x:v>3</x:v>
      </x:c>
      <x:c r="J70" s="71" t="n">
        <x:v>5</x:v>
      </x:c>
      <x:c r="K70" s="71" t="n">
        <x:v>4</x:v>
      </x:c>
      <x:c r="L70" s="71" t="n">
        <x:f>G70*6+H70*4+J70*4+(6-I70)*4+(6-K70)*2</x:f>
        <x:v>86</x:v>
      </x:c>
      <x:c r="M70" s="57" t="str">
        <x:f>IF(L70&gt;=80,"P1",IF(L70&gt;=65,"P2","P3"))</x:f>
        <x:v>P1</x:v>
      </x:c>
      <x:c r="N70" s="57" t="str">
        <x:v>G1</x:v>
      </x:c>
      <x:c r="O70" s="57" t="str">
        <x:v>В очереди</x:v>
      </x:c>
      <x:c r="P70" s="72" t="str"/>
      <x:c r="Q70" s="70" t="str">
        <x:v>Высокая продуктовая близость</x:v>
      </x:c>
      <x:c r="R70" s="70" t="str">
        <x:v>https://yandex.ru/support/webmaster/ru/recommendations/targeting?lang=ru</x:v>
      </x:c>
    </x:row>
    <x:row r="71">
      <x:c r="A71" s="57" t="n">
        <x:v>70</x:v>
      </x:c>
      <x:c r="B71" s="70" t="str">
        <x:v>какие запросы продвигать пф</x:v>
      </x:c>
      <x:c r="C71" s="70" t="str">
        <x:v>Запросы / запуск</x:v>
      </x:c>
      <x:c r="D71" s="70" t="str">
        <x:v>Информационно-коммерческий</x:v>
      </x:c>
      <x:c r="E71" s="70" t="str">
        <x:v>MOFU</x:v>
      </x:c>
      <x:c r="F71" s="70" t="str">
        <x:v>Инструкция</x:v>
      </x:c>
      <x:c r="G71" s="71" t="n">
        <x:v>5</x:v>
      </x:c>
      <x:c r="H71" s="71" t="n">
        <x:v>5</x:v>
      </x:c>
      <x:c r="I71" s="71" t="n">
        <x:v>3</x:v>
      </x:c>
      <x:c r="J71" s="71" t="n">
        <x:v>5</x:v>
      </x:c>
      <x:c r="K71" s="71" t="n">
        <x:v>4</x:v>
      </x:c>
      <x:c r="L71" s="71" t="n">
        <x:f>G71*6+H71*4+J71*4+(6-I71)*4+(6-K71)*2</x:f>
        <x:v>86</x:v>
      </x:c>
      <x:c r="M71" s="57" t="str">
        <x:f>IF(L71&gt;=80,"P1",IF(L71&gt;=65,"P2","P3"))</x:f>
        <x:v>P1</x:v>
      </x:c>
      <x:c r="N71" s="57" t="str">
        <x:v>G1</x:v>
      </x:c>
      <x:c r="O71" s="57" t="str">
        <x:v>В очереди</x:v>
      </x:c>
      <x:c r="P71" s="72" t="str"/>
      <x:c r="Q71" s="70" t="str">
        <x:v>Практическая тема</x:v>
      </x:c>
      <x:c r="R71" s="70" t="str">
        <x:v>https://yandex.ru/support/webmaster/ru/recommendations/targeting?lang=ru</x:v>
      </x:c>
    </x:row>
    <x:row r="72">
      <x:c r="A72" s="57" t="n">
        <x:v>71</x:v>
      </x:c>
      <x:c r="B72" s="70" t="str">
        <x:v>с каких запросов начинать продвижение сайта</x:v>
      </x:c>
      <x:c r="C72" s="70" t="str">
        <x:v>Запросы / запуск</x:v>
      </x:c>
      <x:c r="D72" s="70" t="str">
        <x:v>Информационный</x:v>
      </x:c>
      <x:c r="E72" s="70" t="str">
        <x:v>MOFU</x:v>
      </x:c>
      <x:c r="F72" s="70" t="str">
        <x:v>Инструкция</x:v>
      </x:c>
      <x:c r="G72" s="71" t="n">
        <x:v>4</x:v>
      </x:c>
      <x:c r="H72" s="71" t="n">
        <x:v>5</x:v>
      </x:c>
      <x:c r="I72" s="71" t="n">
        <x:v>4</x:v>
      </x:c>
      <x:c r="J72" s="71" t="n">
        <x:v>4</x:v>
      </x:c>
      <x:c r="K72" s="71" t="n">
        <x:v>2</x:v>
      </x:c>
      <x:c r="L72" s="71" t="n">
        <x:f>G72*6+H72*4+J72*4+(6-I72)*4+(6-K72)*2</x:f>
        <x:v>76</x:v>
      </x:c>
      <x:c r="M72" s="57" t="str">
        <x:f>IF(L72&gt;=80,"P1",IF(L72&gt;=65,"P2","P3"))</x:f>
        <x:v>P2</x:v>
      </x:c>
      <x:c r="N72" s="57" t="str">
        <x:v>G2</x:v>
      </x:c>
      <x:c r="O72" s="57" t="str">
        <x:v>В очереди</x:v>
      </x:c>
      <x:c r="P72" s="72" t="str"/>
      <x:c r="Q72" s="70" t="str">
        <x:v>Уже покрыто второй статьей Дзена</x:v>
      </x:c>
      <x:c r="R72" s="70" t="str">
        <x:v>https://yandex.ru/support/webmaster/ru/recommendations/targeting?lang=ru</x:v>
      </x:c>
    </x:row>
    <x:row r="73">
      <x:c r="A73" s="57" t="n">
        <x:v>72</x:v>
      </x:c>
      <x:c r="B73" s="70" t="str">
        <x:v>высокочастотные или низкочастотные запросы для seo</x:v>
      </x:c>
      <x:c r="C73" s="70" t="str">
        <x:v>Запросы / запуск</x:v>
      </x:c>
      <x:c r="D73" s="70" t="str">
        <x:v>Информационный</x:v>
      </x:c>
      <x:c r="E73" s="70" t="str">
        <x:v>TOFU</x:v>
      </x:c>
      <x:c r="F73" s="70" t="str">
        <x:v>Сравнение</x:v>
      </x:c>
      <x:c r="G73" s="71" t="n">
        <x:v>3</x:v>
      </x:c>
      <x:c r="H73" s="71" t="n">
        <x:v>5</x:v>
      </x:c>
      <x:c r="I73" s="71" t="n">
        <x:v>4</x:v>
      </x:c>
      <x:c r="J73" s="71" t="n">
        <x:v>4</x:v>
      </x:c>
      <x:c r="K73" s="71" t="n">
        <x:v>1</x:v>
      </x:c>
      <x:c r="L73" s="71" t="n">
        <x:f>G73*6+H73*4+J73*4+(6-I73)*4+(6-K73)*2</x:f>
        <x:v>72</x:v>
      </x:c>
      <x:c r="M73" s="57" t="str">
        <x:f>IF(L73&gt;=80,"P1",IF(L73&gt;=65,"P2","P3"))</x:f>
        <x:v>P2</x:v>
      </x:c>
      <x:c r="N73" s="57" t="str">
        <x:v>G2</x:v>
      </x:c>
      <x:c r="O73" s="57" t="str">
        <x:v>В очереди</x:v>
      </x:c>
      <x:c r="P73" s="72" t="str"/>
      <x:c r="Q73" s="70" t="str">
        <x:v>Частично покрыто второй статьей Дзена</x:v>
      </x:c>
      <x:c r="R73" s="70" t="str">
        <x:v>https://yandex.ru/support/webmaster/ru/recommendations/targeting?lang=ru</x:v>
      </x:c>
    </x:row>
    <x:row r="74">
      <x:c r="A74" s="57" t="n">
        <x:v>73</x:v>
      </x:c>
      <x:c r="B74" s="70" t="str">
        <x:v>как распределить запросы по страницам</x:v>
      </x:c>
      <x:c r="C74" s="70" t="str">
        <x:v>Запросы / запуск</x:v>
      </x:c>
      <x:c r="D74" s="70" t="str">
        <x:v>Информационный</x:v>
      </x:c>
      <x:c r="E74" s="70" t="str">
        <x:v>MOFU</x:v>
      </x:c>
      <x:c r="F74" s="70" t="str">
        <x:v>Инструкция</x:v>
      </x:c>
      <x:c r="G74" s="71" t="n">
        <x:v>4</x:v>
      </x:c>
      <x:c r="H74" s="71" t="n">
        <x:v>5</x:v>
      </x:c>
      <x:c r="I74" s="71" t="n">
        <x:v>4</x:v>
      </x:c>
      <x:c r="J74" s="71" t="n">
        <x:v>4</x:v>
      </x:c>
      <x:c r="K74" s="71" t="n">
        <x:v>1</x:v>
      </x:c>
      <x:c r="L74" s="71" t="n">
        <x:f>G74*6+H74*4+J74*4+(6-I74)*4+(6-K74)*2</x:f>
        <x:v>78</x:v>
      </x:c>
      <x:c r="M74" s="57" t="str">
        <x:f>IF(L74&gt;=80,"P1",IF(L74&gt;=65,"P2","P3"))</x:f>
        <x:v>P2</x:v>
      </x:c>
      <x:c r="N74" s="57" t="str">
        <x:v>G3</x:v>
      </x:c>
      <x:c r="O74" s="57" t="str">
        <x:v>В очереди</x:v>
      </x:c>
      <x:c r="P74" s="72" t="str"/>
      <x:c r="Q74" s="70" t="str">
        <x:v>Уже покрыто третьей статьей Дзена</x:v>
      </x:c>
      <x:c r="R74" s="70" t="str">
        <x:v>https://yandex.ru/support/webmaster/ru/recommendations/targeting?lang=ru</x:v>
      </x:c>
    </x:row>
    <x:row r="75">
      <x:c r="A75" s="57" t="n">
        <x:v>74</x:v>
      </x:c>
      <x:c r="B75" s="70" t="str">
        <x:v>один запрос одна страница seo</x:v>
      </x:c>
      <x:c r="C75" s="70" t="str">
        <x:v>Запросы / запуск</x:v>
      </x:c>
      <x:c r="D75" s="70" t="str">
        <x:v>Информационный</x:v>
      </x:c>
      <x:c r="E75" s="70" t="str">
        <x:v>TOFU</x:v>
      </x:c>
      <x:c r="F75" s="70" t="str">
        <x:v>Разбор</x:v>
      </x:c>
      <x:c r="G75" s="71" t="n">
        <x:v>3</x:v>
      </x:c>
      <x:c r="H75" s="71" t="n">
        <x:v>5</x:v>
      </x:c>
      <x:c r="I75" s="71" t="n">
        <x:v>3</x:v>
      </x:c>
      <x:c r="J75" s="71" t="n">
        <x:v>4</x:v>
      </x:c>
      <x:c r="K75" s="71" t="n">
        <x:v>1</x:v>
      </x:c>
      <x:c r="L75" s="71" t="n">
        <x:f>G75*6+H75*4+J75*4+(6-I75)*4+(6-K75)*2</x:f>
        <x:v>76</x:v>
      </x:c>
      <x:c r="M75" s="57" t="str">
        <x:f>IF(L75&gt;=80,"P1",IF(L75&gt;=65,"P2","P3"))</x:f>
        <x:v>P2</x:v>
      </x:c>
      <x:c r="N75" s="57" t="str">
        <x:v>G3</x:v>
      </x:c>
      <x:c r="O75" s="57" t="str">
        <x:v>В очереди</x:v>
      </x:c>
      <x:c r="P75" s="72" t="str"/>
      <x:c r="Q75" s="70" t="str">
        <x:v>Уже покрыто третьей статьей Дзена</x:v>
      </x:c>
      <x:c r="R75" s="70" t="str">
        <x:v>https://yandex.ru/support/webmaster/ru/recommendations/targeting?lang=ru</x:v>
      </x:c>
    </x:row>
    <x:row r="76">
      <x:c r="A76" s="57" t="n">
        <x:v>75</x:v>
      </x:c>
      <x:c r="B76" s="70" t="str">
        <x:v>релевантная страница для запроса</x:v>
      </x:c>
      <x:c r="C76" s="70" t="str">
        <x:v>Запросы / запуск</x:v>
      </x:c>
      <x:c r="D76" s="70" t="str">
        <x:v>Информационный</x:v>
      </x:c>
      <x:c r="E76" s="70" t="str">
        <x:v>MOFU</x:v>
      </x:c>
      <x:c r="F76" s="70" t="str">
        <x:v>Инструкция</x:v>
      </x:c>
      <x:c r="G76" s="71" t="n">
        <x:v>4</x:v>
      </x:c>
      <x:c r="H76" s="71" t="n">
        <x:v>5</x:v>
      </x:c>
      <x:c r="I76" s="71" t="n">
        <x:v>3</x:v>
      </x:c>
      <x:c r="J76" s="71" t="n">
        <x:v>4</x:v>
      </x:c>
      <x:c r="K76" s="71" t="n">
        <x:v>1</x:v>
      </x:c>
      <x:c r="L76" s="71" t="n">
        <x:f>G76*6+H76*4+J76*4+(6-I76)*4+(6-K76)*2</x:f>
        <x:v>82</x:v>
      </x:c>
      <x:c r="M76" s="57" t="str">
        <x:f>IF(L76&gt;=80,"P1",IF(L76&gt;=65,"P2","P3"))</x:f>
        <x:v>P1</x:v>
      </x:c>
      <x:c r="N76" s="57" t="str">
        <x:v>G3</x:v>
      </x:c>
      <x:c r="O76" s="57" t="str">
        <x:v>В очереди</x:v>
      </x:c>
      <x:c r="P76" s="72" t="str"/>
      <x:c r="Q76" s="70" t="str">
        <x:v>Поддерживающий ключ опубликованной статьи</x:v>
      </x:c>
      <x:c r="R76" s="70" t="str">
        <x:v>https://yandex.ru/support/webmaster/ru/recommendations/targeting?lang=ru</x:v>
      </x:c>
    </x:row>
    <x:row r="77">
      <x:c r="A77" s="57" t="n">
        <x:v>76</x:v>
      </x:c>
      <x:c r="B77" s="70" t="str">
        <x:v>как запустить накрутку пф</x:v>
      </x:c>
      <x:c r="C77" s="70" t="str">
        <x:v>Запросы / запуск</x:v>
      </x:c>
      <x:c r="D77" s="70" t="str">
        <x:v>Информационно-коммерческий</x:v>
      </x:c>
      <x:c r="E77" s="70" t="str">
        <x:v>BOFU</x:v>
      </x:c>
      <x:c r="F77" s="70" t="str">
        <x:v>Стартовый гайд</x:v>
      </x:c>
      <x:c r="G77" s="71" t="n">
        <x:v>5</x:v>
      </x:c>
      <x:c r="H77" s="71" t="n">
        <x:v>5</x:v>
      </x:c>
      <x:c r="I77" s="71" t="n">
        <x:v>4</x:v>
      </x:c>
      <x:c r="J77" s="71" t="n">
        <x:v>5</x:v>
      </x:c>
      <x:c r="K77" s="71" t="n">
        <x:v>5</x:v>
      </x:c>
      <x:c r="L77" s="71" t="n">
        <x:f>G77*6+H77*4+J77*4+(6-I77)*4+(6-K77)*2</x:f>
        <x:v>80</x:v>
      </x:c>
      <x:c r="M77" s="57" t="str">
        <x:f>IF(L77&gt;=80,"P1",IF(L77&gt;=65,"P2","P3"))</x:f>
        <x:v>P1</x:v>
      </x:c>
      <x:c r="N77" s="57" t="str">
        <x:v>G4</x:v>
      </x:c>
      <x:c r="O77" s="57" t="str">
        <x:v>В очереди</x:v>
      </x:c>
      <x:c r="P77" s="72" t="str"/>
      <x:c r="Q77" s="70" t="str">
        <x:v>Не превращать в инструкцию по обходу антифрода</x:v>
      </x:c>
      <x:c r="R77" s="70" t="str">
        <x:v>https://tools.pixelplus.ru/optimization/filtr-za-nakrutku-pf-yandex</x:v>
      </x:c>
    </x:row>
    <x:row r="78">
      <x:c r="A78" s="57" t="n">
        <x:v>77</x:v>
      </x:c>
      <x:c r="B78" s="70" t="str">
        <x:v>накрутка пф самостоятельно</x:v>
      </x:c>
      <x:c r="C78" s="70" t="str">
        <x:v>Запросы / запуск</x:v>
      </x:c>
      <x:c r="D78" s="70" t="str">
        <x:v>Информационно-коммерческий</x:v>
      </x:c>
      <x:c r="E78" s="70" t="str">
        <x:v>BOFU</x:v>
      </x:c>
      <x:c r="F78" s="70" t="str">
        <x:v>Стартовый гайд</x:v>
      </x:c>
      <x:c r="G78" s="71" t="n">
        <x:v>5</x:v>
      </x:c>
      <x:c r="H78" s="71" t="n">
        <x:v>5</x:v>
      </x:c>
      <x:c r="I78" s="71" t="n">
        <x:v>5</x:v>
      </x:c>
      <x:c r="J78" s="71" t="n">
        <x:v>4</x:v>
      </x:c>
      <x:c r="K78" s="71" t="n">
        <x:v>5</x:v>
      </x:c>
      <x:c r="L78" s="71" t="n">
        <x:f>G78*6+H78*4+J78*4+(6-I78)*4+(6-K78)*2</x:f>
        <x:v>72</x:v>
      </x:c>
      <x:c r="M78" s="57" t="str">
        <x:f>IF(L78&gt;=80,"P1",IF(L78&gt;=65,"P2","P3"))</x:f>
        <x:v>P2</x:v>
      </x:c>
      <x:c r="N78" s="57" t="str">
        <x:v>G4</x:v>
      </x:c>
      <x:c r="O78" s="57" t="str">
        <x:v>В очереди</x:v>
      </x:c>
      <x:c r="P78" s="72" t="str"/>
      <x:c r="Q78" s="70" t="str">
        <x:v>Сильный запрос; показать интерфейс и ограничения без обходных деталей</x:v>
      </x:c>
      <x:c r="R78" s="70" t="str">
        <x:v>https://tools.pixelplus.ru/optimization/filtr-za-nakrutku-pf-yandex</x:v>
      </x:c>
    </x:row>
    <x:row r="79">
      <x:c r="A79" s="57" t="n">
        <x:v>78</x:v>
      </x:c>
      <x:c r="B79" s="70" t="str">
        <x:v>настройка проекта пф</x:v>
      </x:c>
      <x:c r="C79" s="70" t="str">
        <x:v>Запросы / запуск</x:v>
      </x:c>
      <x:c r="D79" s="70" t="str">
        <x:v>Информационно-коммерческий</x:v>
      </x:c>
      <x:c r="E79" s="70" t="str">
        <x:v>BOFU</x:v>
      </x:c>
      <x:c r="F79" s="70" t="str">
        <x:v>Стартовый гайд</x:v>
      </x:c>
      <x:c r="G79" s="71" t="n">
        <x:v>5</x:v>
      </x:c>
      <x:c r="H79" s="71" t="n">
        <x:v>5</x:v>
      </x:c>
      <x:c r="I79" s="71" t="n">
        <x:v>2</x:v>
      </x:c>
      <x:c r="J79" s="71" t="n">
        <x:v>5</x:v>
      </x:c>
      <x:c r="K79" s="71" t="n">
        <x:v>4</x:v>
      </x:c>
      <x:c r="L79" s="71" t="n">
        <x:f>G79*6+H79*4+J79*4+(6-I79)*4+(6-K79)*2</x:f>
        <x:v>90</x:v>
      </x:c>
      <x:c r="M79" s="57" t="str">
        <x:f>IF(L79&gt;=80,"P1",IF(L79&gt;=65,"P2","P3"))</x:f>
        <x:v>P1</x:v>
      </x:c>
      <x:c r="N79" s="57" t="str">
        <x:v>G4</x:v>
      </x:c>
      <x:c r="O79" s="57" t="str">
        <x:v>В очереди</x:v>
      </x:c>
      <x:c r="P79" s="72" t="str"/>
      <x:c r="Q79" s="70" t="str">
        <x:v>Узкий продуктовый long-tail</x:v>
      </x:c>
      <x:c r="R79" s="70" t="str">
        <x:v>https://tools.pixelplus.ru/optimization/filtr-za-nakrutku-pf-yandex</x:v>
      </x:c>
    </x:row>
    <x:row r="80">
      <x:c r="A80" s="57" t="n">
        <x:v>79</x:v>
      </x:c>
      <x:c r="B80" s="70" t="str">
        <x:v>когда начинать накрутку пф</x:v>
      </x:c>
      <x:c r="C80" s="70" t="str">
        <x:v>Запросы / запуск</x:v>
      </x:c>
      <x:c r="D80" s="70" t="str">
        <x:v>Информационно-коммерческий</x:v>
      </x:c>
      <x:c r="E80" s="70" t="str">
        <x:v>MOFU</x:v>
      </x:c>
      <x:c r="F80" s="70" t="str">
        <x:v>Чек-лист готовности</x:v>
      </x:c>
      <x:c r="G80" s="71" t="n">
        <x:v>5</x:v>
      </x:c>
      <x:c r="H80" s="71" t="n">
        <x:v>5</x:v>
      </x:c>
      <x:c r="I80" s="71" t="n">
        <x:v>3</x:v>
      </x:c>
      <x:c r="J80" s="71" t="n">
        <x:v>5</x:v>
      </x:c>
      <x:c r="K80" s="71" t="n">
        <x:v>4</x:v>
      </x:c>
      <x:c r="L80" s="71" t="n">
        <x:f>G80*6+H80*4+J80*4+(6-I80)*4+(6-K80)*2</x:f>
        <x:v>86</x:v>
      </x:c>
      <x:c r="M80" s="57" t="str">
        <x:f>IF(L80&gt;=80,"P1",IF(L80&gt;=65,"P2","P3"))</x:f>
        <x:v>P1</x:v>
      </x:c>
      <x:c r="N80" s="57" t="str">
        <x:v>G5</x:v>
      </x:c>
      <x:c r="O80" s="57" t="str">
        <x:v>В очереди</x:v>
      </x:c>
      <x:c r="P80" s="72" t="str"/>
      <x:c r="Q80" s="70" t="str">
        <x:v>Подходит тема готовности сайта</x:v>
      </x:c>
      <x:c r="R80" s="70" t="str">
        <x:v>https://tools.pixelplus.ru/optimization/filtr-za-nakrutku-pf-yandex</x:v>
      </x:c>
    </x:row>
    <x:row r="81">
      <x:c r="A81" s="57" t="n">
        <x:v>80</x:v>
      </x:c>
      <x:c r="B81" s="70" t="str">
        <x:v>когда пф не помогут</x:v>
      </x:c>
      <x:c r="C81" s="70" t="str">
        <x:v>Запросы / запуск</x:v>
      </x:c>
      <x:c r="D81" s="70" t="str">
        <x:v>Информационно-коммерческий</x:v>
      </x:c>
      <x:c r="E81" s="70" t="str">
        <x:v>MOFU</x:v>
      </x:c>
      <x:c r="F81" s="70" t="str">
        <x:v>Чек-лист готовности</x:v>
      </x:c>
      <x:c r="G81" s="71" t="n">
        <x:v>5</x:v>
      </x:c>
      <x:c r="H81" s="71" t="n">
        <x:v>5</x:v>
      </x:c>
      <x:c r="I81" s="71" t="n">
        <x:v>3</x:v>
      </x:c>
      <x:c r="J81" s="71" t="n">
        <x:v>5</x:v>
      </x:c>
      <x:c r="K81" s="71" t="n">
        <x:v>3</x:v>
      </x:c>
      <x:c r="L81" s="71" t="n">
        <x:f>G81*6+H81*4+J81*4+(6-I81)*4+(6-K81)*2</x:f>
        <x:v>88</x:v>
      </x:c>
      <x:c r="M81" s="57" t="str">
        <x:f>IF(L81&gt;=80,"P1",IF(L81&gt;=65,"P2","P3"))</x:f>
        <x:v>P1</x:v>
      </x:c>
      <x:c r="N81" s="57" t="str">
        <x:v>G5</x:v>
      </x:c>
      <x:c r="O81" s="57" t="str">
        <x:v>В очереди</x:v>
      </x:c>
      <x:c r="P81" s="72" t="str"/>
      <x:c r="Q81" s="70" t="str">
        <x:v>Сильная честная тема</x:v>
      </x:c>
      <x:c r="R81" s="70" t="str">
        <x:v>https://tools.pixelplus.ru/optimization/filtr-za-nakrutku-pf-yandex</x:v>
      </x:c>
    </x:row>
    <x:row r="82">
      <x:c r="A82" s="57" t="n">
        <x:v>81</x:v>
      </x:c>
      <x:c r="B82" s="70" t="str">
        <x:v>что проверить перед накруткой пф</x:v>
      </x:c>
      <x:c r="C82" s="70" t="str">
        <x:v>Запросы / запуск</x:v>
      </x:c>
      <x:c r="D82" s="70" t="str">
        <x:v>Информационно-коммерческий</x:v>
      </x:c>
      <x:c r="E82" s="70" t="str">
        <x:v>MOFU</x:v>
      </x:c>
      <x:c r="F82" s="70" t="str">
        <x:v>Чек-лист готовности</x:v>
      </x:c>
      <x:c r="G82" s="71" t="n">
        <x:v>5</x:v>
      </x:c>
      <x:c r="H82" s="71" t="n">
        <x:v>5</x:v>
      </x:c>
      <x:c r="I82" s="71" t="n">
        <x:v>3</x:v>
      </x:c>
      <x:c r="J82" s="71" t="n">
        <x:v>5</x:v>
      </x:c>
      <x:c r="K82" s="71" t="n">
        <x:v>3</x:v>
      </x:c>
      <x:c r="L82" s="71" t="n">
        <x:f>G82*6+H82*4+J82*4+(6-I82)*4+(6-K82)*2</x:f>
        <x:v>88</x:v>
      </x:c>
      <x:c r="M82" s="57" t="str">
        <x:f>IF(L82&gt;=80,"P1",IF(L82&gt;=65,"P2","P3"))</x:f>
        <x:v>P1</x:v>
      </x:c>
      <x:c r="N82" s="57" t="str">
        <x:v>G5</x:v>
      </x:c>
      <x:c r="O82" s="57" t="str">
        <x:v>В очереди</x:v>
      </x:c>
      <x:c r="P82" s="72" t="str"/>
      <x:c r="Q82" s="70" t="str">
        <x:v>Высокая практическая ценность</x:v>
      </x:c>
      <x:c r="R82" s="70" t="str">
        <x:v>https://tools.pixelplus.ru/optimization/filtr-za-nakrutku-pf-yandex</x:v>
      </x:c>
    </x:row>
    <x:row r="83">
      <x:c r="A83" s="57" t="n">
        <x:v>82</x:v>
      </x:c>
      <x:c r="B83" s="70" t="str">
        <x:v>как долго накручивать пф</x:v>
      </x:c>
      <x:c r="C83" s="70" t="str">
        <x:v>Управление / динамика</x:v>
      </x:c>
      <x:c r="D83" s="70" t="str">
        <x:v>Информационно-коммерческий</x:v>
      </x:c>
      <x:c r="E83" s="70" t="str">
        <x:v>MOFU</x:v>
      </x:c>
      <x:c r="F83" s="70" t="str">
        <x:v>Методика</x:v>
      </x:c>
      <x:c r="G83" s="71" t="n">
        <x:v>5</x:v>
      </x:c>
      <x:c r="H83" s="71" t="n">
        <x:v>5</x:v>
      </x:c>
      <x:c r="I83" s="71" t="n">
        <x:v>3</x:v>
      </x:c>
      <x:c r="J83" s="71" t="n">
        <x:v>5</x:v>
      </x:c>
      <x:c r="K83" s="71" t="n">
        <x:v>5</x:v>
      </x:c>
      <x:c r="L83" s="71" t="n">
        <x:f>G83*6+H83*4+J83*4+(6-I83)*4+(6-K83)*2</x:f>
        <x:v>84</x:v>
      </x:c>
      <x:c r="M83" s="57" t="str">
        <x:f>IF(L83&gt;=80,"P1",IF(L83&gt;=65,"P2","P3"))</x:f>
        <x:v>P1</x:v>
      </x:c>
      <x:c r="N83" s="57" t="str">
        <x:v>H1</x:v>
      </x:c>
      <x:c r="O83" s="57" t="str">
        <x:v>В очереди</x:v>
      </x:c>
      <x:c r="P83" s="72" t="str"/>
      <x:c r="Q83" s="70" t="str">
        <x:v>Нет универсального срока</x:v>
      </x:c>
      <x:c r="R83" s="70" t="str">
        <x:v>https://tools.pixelplus.ru/optimization/filtr-za-nakrutku-pf-yandex</x:v>
      </x:c>
    </x:row>
    <x:row r="84">
      <x:c r="A84" s="57" t="n">
        <x:v>83</x:v>
      </x:c>
      <x:c r="B84" s="70" t="str">
        <x:v>когда останавливать накрутку пф</x:v>
      </x:c>
      <x:c r="C84" s="70" t="str">
        <x:v>Управление / динамика</x:v>
      </x:c>
      <x:c r="D84" s="70" t="str">
        <x:v>Информационно-коммерческий</x:v>
      </x:c>
      <x:c r="E84" s="70" t="str">
        <x:v>MOFU</x:v>
      </x:c>
      <x:c r="F84" s="70" t="str">
        <x:v>Методика</x:v>
      </x:c>
      <x:c r="G84" s="71" t="n">
        <x:v>5</x:v>
      </x:c>
      <x:c r="H84" s="71" t="n">
        <x:v>5</x:v>
      </x:c>
      <x:c r="I84" s="71" t="n">
        <x:v>3</x:v>
      </x:c>
      <x:c r="J84" s="71" t="n">
        <x:v>5</x:v>
      </x:c>
      <x:c r="K84" s="71" t="n">
        <x:v>5</x:v>
      </x:c>
      <x:c r="L84" s="71" t="n">
        <x:f>G84*6+H84*4+J84*4+(6-I84)*4+(6-K84)*2</x:f>
        <x:v>84</x:v>
      </x:c>
      <x:c r="M84" s="57" t="str">
        <x:f>IF(L84&gt;=80,"P1",IF(L84&gt;=65,"P2","P3"))</x:f>
        <x:v>P1</x:v>
      </x:c>
      <x:c r="N84" s="57" t="str">
        <x:v>H1</x:v>
      </x:c>
      <x:c r="O84" s="57" t="str">
        <x:v>В очереди</x:v>
      </x:c>
      <x:c r="P84" s="72" t="str"/>
      <x:c r="Q84" s="70" t="str">
        <x:v>Не давать безусловных правил</x:v>
      </x:c>
      <x:c r="R84" s="70" t="str">
        <x:v>https://tools.pixelplus.ru/optimization/filtr-za-nakrutku-pf-yandex</x:v>
      </x:c>
    </x:row>
    <x:row r="85">
      <x:c r="A85" s="57" t="n">
        <x:v>84</x:v>
      </x:c>
      <x:c r="B85" s="70" t="str">
        <x:v>можно ли остановить пф после выхода в топ</x:v>
      </x:c>
      <x:c r="C85" s="70" t="str">
        <x:v>Управление / динамика</x:v>
      </x:c>
      <x:c r="D85" s="70" t="str">
        <x:v>Информационно-коммерческий</x:v>
      </x:c>
      <x:c r="E85" s="70" t="str">
        <x:v>MOFU</x:v>
      </x:c>
      <x:c r="F85" s="70" t="str">
        <x:v>Методика</x:v>
      </x:c>
      <x:c r="G85" s="71" t="n">
        <x:v>5</x:v>
      </x:c>
      <x:c r="H85" s="71" t="n">
        <x:v>5</x:v>
      </x:c>
      <x:c r="I85" s="71" t="n">
        <x:v>3</x:v>
      </x:c>
      <x:c r="J85" s="71" t="n">
        <x:v>5</x:v>
      </x:c>
      <x:c r="K85" s="71" t="n">
        <x:v>5</x:v>
      </x:c>
      <x:c r="L85" s="71" t="n">
        <x:f>G85*6+H85*4+J85*4+(6-I85)*4+(6-K85)*2</x:f>
        <x:v>84</x:v>
      </x:c>
      <x:c r="M85" s="57" t="str">
        <x:f>IF(L85&gt;=80,"P1",IF(L85&gt;=65,"P2","P3"))</x:f>
        <x:v>P1</x:v>
      </x:c>
      <x:c r="N85" s="57" t="str">
        <x:v>H1</x:v>
      </x:c>
      <x:c r="O85" s="57" t="str">
        <x:v>В очереди</x:v>
      </x:c>
      <x:c r="P85" s="72" t="str"/>
      <x:c r="Q85" s="70" t="str">
        <x:v>Хороший long-tail с сильным намерением</x:v>
      </x:c>
      <x:c r="R85" s="70" t="str">
        <x:v>https://tools.pixelplus.ru/optimization/filtr-za-nakrutku-pf-yandex</x:v>
      </x:c>
    </x:row>
    <x:row r="86">
      <x:c r="A86" s="57" t="n">
        <x:v>85</x:v>
      </x:c>
      <x:c r="B86" s="70" t="str">
        <x:v>как снижать интенсивность пф</x:v>
      </x:c>
      <x:c r="C86" s="70" t="str">
        <x:v>Управление / динамика</x:v>
      </x:c>
      <x:c r="D86" s="70" t="str">
        <x:v>Информационно-коммерческий</x:v>
      </x:c>
      <x:c r="E86" s="70" t="str">
        <x:v>MOFU</x:v>
      </x:c>
      <x:c r="F86" s="70" t="str">
        <x:v>Методика</x:v>
      </x:c>
      <x:c r="G86" s="71" t="n">
        <x:v>5</x:v>
      </x:c>
      <x:c r="H86" s="71" t="n">
        <x:v>4</x:v>
      </x:c>
      <x:c r="I86" s="71" t="n">
        <x:v>2</x:v>
      </x:c>
      <x:c r="J86" s="71" t="n">
        <x:v>5</x:v>
      </x:c>
      <x:c r="K86" s="71" t="n">
        <x:v>5</x:v>
      </x:c>
      <x:c r="L86" s="71" t="n">
        <x:f>G86*6+H86*4+J86*4+(6-I86)*4+(6-K86)*2</x:f>
        <x:v>84</x:v>
      </x:c>
      <x:c r="M86" s="57" t="str">
        <x:f>IF(L86&gt;=80,"P1",IF(L86&gt;=65,"P2","P3"))</x:f>
        <x:v>P1</x:v>
      </x:c>
      <x:c r="N86" s="57" t="str">
        <x:v>H1</x:v>
      </x:c>
      <x:c r="O86" s="57" t="str">
        <x:v>В очереди</x:v>
      </x:c>
      <x:c r="P86" s="72" t="str"/>
      <x:c r="Q86" s="70" t="str">
        <x:v>Высокая чувствительность; без антифрод-деталей</x:v>
      </x:c>
      <x:c r="R86" s="70" t="str">
        <x:v>https://tools.pixelplus.ru/optimization/filtr-za-nakrutku-pf-yandex</x:v>
      </x:c>
    </x:row>
    <x:row r="87">
      <x:c r="A87" s="57" t="n">
        <x:v>86</x:v>
      </x:c>
      <x:c r="B87" s="70" t="str">
        <x:v>как анализировать позиции сайта по дням</x:v>
      </x:c>
      <x:c r="C87" s="70" t="str">
        <x:v>Управление / динамика</x:v>
      </x:c>
      <x:c r="D87" s="70" t="str">
        <x:v>Информационный</x:v>
      </x:c>
      <x:c r="E87" s="70" t="str">
        <x:v>MOFU</x:v>
      </x:c>
      <x:c r="F87" s="70" t="str">
        <x:v>Аналитика</x:v>
      </x:c>
      <x:c r="G87" s="71" t="n">
        <x:v>4</x:v>
      </x:c>
      <x:c r="H87" s="71" t="n">
        <x:v>5</x:v>
      </x:c>
      <x:c r="I87" s="71" t="n">
        <x:v>3</x:v>
      </x:c>
      <x:c r="J87" s="71" t="n">
        <x:v>5</x:v>
      </x:c>
      <x:c r="K87" s="71" t="n">
        <x:v>2</x:v>
      </x:c>
      <x:c r="L87" s="71" t="n">
        <x:f>G87*6+H87*4+J87*4+(6-I87)*4+(6-K87)*2</x:f>
        <x:v>84</x:v>
      </x:c>
      <x:c r="M87" s="57" t="str">
        <x:f>IF(L87&gt;=80,"P1",IF(L87&gt;=65,"P2","P3"))</x:f>
        <x:v>P1</x:v>
      </x:c>
      <x:c r="N87" s="57" t="str">
        <x:v>H2</x:v>
      </x:c>
      <x:c r="O87" s="57" t="str">
        <x:v>В очереди</x:v>
      </x:c>
      <x:c r="P87" s="72" t="str"/>
      <x:c r="Q87" s="70" t="str">
        <x:v>Подходит статья о принятии решений не по одному дню</x:v>
      </x:c>
      <x:c r="R87" s="70" t="str">
        <x:v>https://yandex.ru/support/webmaster/ru/recommendations/targeting?lang=ru</x:v>
      </x:c>
    </x:row>
    <x:row r="88">
      <x:c r="A88" s="57" t="n">
        <x:v>87</x:v>
      </x:c>
      <x:c r="B88" s="70" t="str">
        <x:v>почему позиции сайта скачут</x:v>
      </x:c>
      <x:c r="C88" s="70" t="str">
        <x:v>Управление / динамика</x:v>
      </x:c>
      <x:c r="D88" s="70" t="str">
        <x:v>Информационный</x:v>
      </x:c>
      <x:c r="E88" s="70" t="str">
        <x:v>TOFU</x:v>
      </x:c>
      <x:c r="F88" s="70" t="str">
        <x:v>Диагностика</x:v>
      </x:c>
      <x:c r="G88" s="71" t="n">
        <x:v>3</x:v>
      </x:c>
      <x:c r="H88" s="71" t="n">
        <x:v>5</x:v>
      </x:c>
      <x:c r="I88" s="71" t="n">
        <x:v>4</x:v>
      </x:c>
      <x:c r="J88" s="71" t="n">
        <x:v>4</x:v>
      </x:c>
      <x:c r="K88" s="71" t="n">
        <x:v>2</x:v>
      </x:c>
      <x:c r="L88" s="71" t="n">
        <x:f>G88*6+H88*4+J88*4+(6-I88)*4+(6-K88)*2</x:f>
        <x:v>70</x:v>
      </x:c>
      <x:c r="M88" s="57" t="str">
        <x:f>IF(L88&gt;=80,"P1",IF(L88&gt;=65,"P2","P3"))</x:f>
        <x:v>P2</x:v>
      </x:c>
      <x:c r="N88" s="57" t="str">
        <x:v>H2</x:v>
      </x:c>
      <x:c r="O88" s="57" t="str">
        <x:v>В очереди</x:v>
      </x:c>
      <x:c r="P88" s="72" t="str"/>
      <x:c r="Q88" s="70" t="str">
        <x:v>Широкая тема, полезна для привлечения</x:v>
      </x:c>
      <x:c r="R88" s="70" t="str">
        <x:v>https://yandex.ru/support/webmaster/ru/recommendations/targeting?lang=ru</x:v>
      </x:c>
    </x:row>
    <x:row r="89">
      <x:c r="A89" s="57" t="n">
        <x:v>88</x:v>
      </x:c>
      <x:c r="B89" s="70" t="str">
        <x:v>как оценить результат пф</x:v>
      </x:c>
      <x:c r="C89" s="70" t="str">
        <x:v>Управление / динамика</x:v>
      </x:c>
      <x:c r="D89" s="70" t="str">
        <x:v>Информационно-коммерческий</x:v>
      </x:c>
      <x:c r="E89" s="70" t="str">
        <x:v>MOFU</x:v>
      </x:c>
      <x:c r="F89" s="70" t="str">
        <x:v>Аналитика</x:v>
      </x:c>
      <x:c r="G89" s="71" t="n">
        <x:v>5</x:v>
      </x:c>
      <x:c r="H89" s="71" t="n">
        <x:v>5</x:v>
      </x:c>
      <x:c r="I89" s="71" t="n">
        <x:v>2</x:v>
      </x:c>
      <x:c r="J89" s="71" t="n">
        <x:v>5</x:v>
      </x:c>
      <x:c r="K89" s="71" t="n">
        <x:v>3</x:v>
      </x:c>
      <x:c r="L89" s="71" t="n">
        <x:f>G89*6+H89*4+J89*4+(6-I89)*4+(6-K89)*2</x:f>
        <x:v>92</x:v>
      </x:c>
      <x:c r="M89" s="57" t="str">
        <x:f>IF(L89&gt;=80,"P1",IF(L89&gt;=65,"P2","P3"))</x:f>
        <x:v>P1</x:v>
      </x:c>
      <x:c r="N89" s="57" t="str">
        <x:v>H3</x:v>
      </x:c>
      <x:c r="O89" s="57" t="str">
        <x:v>В очереди</x:v>
      </x:c>
      <x:c r="P89" s="72" t="str"/>
      <x:c r="Q89" s="70" t="str">
        <x:v>Связать позиции, клики, расходы и конверсии</x:v>
      </x:c>
      <x:c r="R89" s="70" t="str">
        <x:v>https://kokoc.com/blog/povedencheskie-faktory-sajta-kak-uluchshit/</x:v>
      </x:c>
    </x:row>
    <x:row r="90">
      <x:c r="A90" s="57" t="n">
        <x:v>89</x:v>
      </x:c>
      <x:c r="B90" s="70" t="str">
        <x:v>аналитика накрутки пф</x:v>
      </x:c>
      <x:c r="C90" s="70" t="str">
        <x:v>Управление / динамика</x:v>
      </x:c>
      <x:c r="D90" s="70" t="str">
        <x:v>Информационно-коммерческий</x:v>
      </x:c>
      <x:c r="E90" s="70" t="str">
        <x:v>MOFU</x:v>
      </x:c>
      <x:c r="F90" s="70" t="str">
        <x:v>Аналитика</x:v>
      </x:c>
      <x:c r="G90" s="71" t="n">
        <x:v>5</x:v>
      </x:c>
      <x:c r="H90" s="71" t="n">
        <x:v>5</x:v>
      </x:c>
      <x:c r="I90" s="71" t="n">
        <x:v>2</x:v>
      </x:c>
      <x:c r="J90" s="71" t="n">
        <x:v>5</x:v>
      </x:c>
      <x:c r="K90" s="71" t="n">
        <x:v>4</x:v>
      </x:c>
      <x:c r="L90" s="71" t="n">
        <x:f>G90*6+H90*4+J90*4+(6-I90)*4+(6-K90)*2</x:f>
        <x:v>90</x:v>
      </x:c>
      <x:c r="M90" s="57" t="str">
        <x:f>IF(L90&gt;=80,"P1",IF(L90&gt;=65,"P2","P3"))</x:f>
        <x:v>P1</x:v>
      </x:c>
      <x:c r="N90" s="57" t="str">
        <x:v>H3</x:v>
      </x:c>
      <x:c r="O90" s="57" t="str">
        <x:v>В очереди</x:v>
      </x:c>
      <x:c r="P90" s="72" t="str"/>
      <x:c r="Q90" s="70" t="str">
        <x:v>Очень продуктовый long-tail</x:v>
      </x:c>
      <x:c r="R90" s="70" t="str">
        <x:v>https://kokoc.com/blog/povedencheskie-faktory-sajta-kak-uluchshit/</x:v>
      </x:c>
    </x:row>
    <x:row r="91">
      <x:c r="A91" s="57" t="n">
        <x:v>90</x:v>
      </x:c>
      <x:c r="B91" s="70" t="str">
        <x:v>поведенческие факторы для интернет магазина</x:v>
      </x:c>
      <x:c r="C91" s="70" t="str">
        <x:v>Сегменты</x:v>
      </x:c>
      <x:c r="D91" s="70" t="str">
        <x:v>Информационно-коммерческий</x:v>
      </x:c>
      <x:c r="E91" s="70" t="str">
        <x:v>MOFU</x:v>
      </x:c>
      <x:c r="F91" s="70" t="str">
        <x:v>Отраслевой гайд</x:v>
      </x:c>
      <x:c r="G91" s="71" t="n">
        <x:v>5</x:v>
      </x:c>
      <x:c r="H91" s="71" t="n">
        <x:v>5</x:v>
      </x:c>
      <x:c r="I91" s="71" t="n">
        <x:v>3</x:v>
      </x:c>
      <x:c r="J91" s="71" t="n">
        <x:v>5</x:v>
      </x:c>
      <x:c r="K91" s="71" t="n">
        <x:v>3</x:v>
      </x:c>
      <x:c r="L91" s="71" t="n">
        <x:f>G91*6+H91*4+J91*4+(6-I91)*4+(6-K91)*2</x:f>
        <x:v>88</x:v>
      </x:c>
      <x:c r="M91" s="57" t="str">
        <x:f>IF(L91&gt;=80,"P1",IF(L91&gt;=65,"P2","P3"))</x:f>
        <x:v>P1</x:v>
      </x:c>
      <x:c r="N91" s="57" t="str">
        <x:v>I1</x:v>
      </x:c>
      <x:c r="O91" s="57" t="str">
        <x:v>В очереди</x:v>
      </x:c>
      <x:c r="P91" s="72" t="str"/>
      <x:c r="Q91" s="70" t="str">
        <x:v>Подходит Oborot после одобрения</x:v>
      </x:c>
      <x:c r="R91" s="70" t="str">
        <x:v>https://yandex.ru/support/webmaster/ru/recommendations/targeting?lang=ru</x:v>
      </x:c>
    </x:row>
    <x:row r="92">
      <x:c r="A92" s="57" t="n">
        <x:v>91</x:v>
      </x:c>
      <x:c r="B92" s="70" t="str">
        <x:v>накрутка пф интернет магазина</x:v>
      </x:c>
      <x:c r="C92" s="70" t="str">
        <x:v>Сегменты</x:v>
      </x:c>
      <x:c r="D92" s="70" t="str">
        <x:v>Коммерческий</x:v>
      </x:c>
      <x:c r="E92" s="70" t="str">
        <x:v>BOFU</x:v>
      </x:c>
      <x:c r="F92" s="70" t="str">
        <x:v>Отраслевой гайд</x:v>
      </x:c>
      <x:c r="G92" s="71" t="n">
        <x:v>5</x:v>
      </x:c>
      <x:c r="H92" s="71" t="n">
        <x:v>5</x:v>
      </x:c>
      <x:c r="I92" s="71" t="n">
        <x:v>3</x:v>
      </x:c>
      <x:c r="J92" s="71" t="n">
        <x:v>5</x:v>
      </x:c>
      <x:c r="K92" s="71" t="n">
        <x:v>5</x:v>
      </x:c>
      <x:c r="L92" s="71" t="n">
        <x:f>G92*6+H92*4+J92*4+(6-I92)*4+(6-K92)*2</x:f>
        <x:v>84</x:v>
      </x:c>
      <x:c r="M92" s="57" t="str">
        <x:f>IF(L92&gt;=80,"P1",IF(L92&gt;=65,"P2","P3"))</x:f>
        <x:v>P1</x:v>
      </x:c>
      <x:c r="N92" s="57" t="str">
        <x:v>I1</x:v>
      </x:c>
      <x:c r="O92" s="57" t="str">
        <x:v>В очереди</x:v>
      </x:c>
      <x:c r="P92" s="72" t="str"/>
      <x:c r="Q92" s="70" t="str">
        <x:v>Разобрать категории и коммерческие страницы</x:v>
      </x:c>
      <x:c r="R92" s="70" t="str">
        <x:v>https://tools.pixelplus.ru/optimization/filtr-za-nakrutku-pf-yandex</x:v>
      </x:c>
    </x:row>
    <x:row r="93">
      <x:c r="A93" s="57" t="n">
        <x:v>92</x:v>
      </x:c>
      <x:c r="B93" s="70" t="str">
        <x:v>продвижение категорий интернет магазина в яндексе</x:v>
      </x:c>
      <x:c r="C93" s="70" t="str">
        <x:v>Сегменты</x:v>
      </x:c>
      <x:c r="D93" s="70" t="str">
        <x:v>Информационно-коммерческий</x:v>
      </x:c>
      <x:c r="E93" s="70" t="str">
        <x:v>MOFU</x:v>
      </x:c>
      <x:c r="F93" s="70" t="str">
        <x:v>Отраслевой гайд</x:v>
      </x:c>
      <x:c r="G93" s="71" t="n">
        <x:v>4</x:v>
      </x:c>
      <x:c r="H93" s="71" t="n">
        <x:v>5</x:v>
      </x:c>
      <x:c r="I93" s="71" t="n">
        <x:v>4</x:v>
      </x:c>
      <x:c r="J93" s="71" t="n">
        <x:v>4</x:v>
      </x:c>
      <x:c r="K93" s="71" t="n">
        <x:v>2</x:v>
      </x:c>
      <x:c r="L93" s="71" t="n">
        <x:f>G93*6+H93*4+J93*4+(6-I93)*4+(6-K93)*2</x:f>
        <x:v>76</x:v>
      </x:c>
      <x:c r="M93" s="57" t="str">
        <x:f>IF(L93&gt;=80,"P1",IF(L93&gt;=65,"P2","P3"))</x:f>
        <x:v>P2</x:v>
      </x:c>
      <x:c r="N93" s="57" t="str">
        <x:v>I1</x:v>
      </x:c>
      <x:c r="O93" s="57" t="str">
        <x:v>В очереди</x:v>
      </x:c>
      <x:c r="P93" s="72" t="str"/>
      <x:c r="Q93" s="70" t="str">
        <x:v>Шире продукта, но хорошая аудитория</x:v>
      </x:c>
      <x:c r="R93" s="70" t="str">
        <x:v>https://yandex.ru/support/webmaster/ru/recommendations/targeting?lang=ru</x:v>
      </x:c>
    </x:row>
    <x:row r="94">
      <x:c r="A94" s="57" t="n">
        <x:v>93</x:v>
      </x:c>
      <x:c r="B94" s="70" t="str">
        <x:v>пф для seo агентства</x:v>
      </x:c>
      <x:c r="C94" s="70" t="str">
        <x:v>Сегменты</x:v>
      </x:c>
      <x:c r="D94" s="70" t="str">
        <x:v>Коммерческий</x:v>
      </x:c>
      <x:c r="E94" s="70" t="str">
        <x:v>BOFU</x:v>
      </x:c>
      <x:c r="F94" s="70" t="str">
        <x:v>Отраслевой обзор</x:v>
      </x:c>
      <x:c r="G94" s="71" t="n">
        <x:v>5</x:v>
      </x:c>
      <x:c r="H94" s="71" t="n">
        <x:v>5</x:v>
      </x:c>
      <x:c r="I94" s="71" t="n">
        <x:v>2</x:v>
      </x:c>
      <x:c r="J94" s="71" t="n">
        <x:v>5</x:v>
      </x:c>
      <x:c r="K94" s="71" t="n">
        <x:v>3</x:v>
      </x:c>
      <x:c r="L94" s="71" t="n">
        <x:f>G94*6+H94*4+J94*4+(6-I94)*4+(6-K94)*2</x:f>
        <x:v>92</x:v>
      </x:c>
      <x:c r="M94" s="57" t="str">
        <x:f>IF(L94&gt;=80,"P1",IF(L94&gt;=65,"P2","P3"))</x:f>
        <x:v>P1</x:v>
      </x:c>
      <x:c r="N94" s="57" t="str">
        <x:v>I2</x:v>
      </x:c>
      <x:c r="O94" s="57" t="str">
        <x:v>В очереди</x:v>
      </x:c>
      <x:c r="P94" s="72" t="str"/>
      <x:c r="Q94" s="70" t="str">
        <x:v>Высокая ценность клиента</x:v>
      </x:c>
      <x:c r="R94" s="70" t="str">
        <x:v>https://workspace.ru/blog/top-servisy-dlya-nakrutki-pf-v-2026-godu/</x:v>
      </x:c>
    </x:row>
    <x:row r="95">
      <x:c r="A95" s="57" t="n">
        <x:v>94</x:v>
      </x:c>
      <x:c r="B95" s="70" t="str">
        <x:v>управление пф нескольких проектов</x:v>
      </x:c>
      <x:c r="C95" s="70" t="str">
        <x:v>Сегменты</x:v>
      </x:c>
      <x:c r="D95" s="70" t="str">
        <x:v>Коммерческий</x:v>
      </x:c>
      <x:c r="E95" s="70" t="str">
        <x:v>BOFU</x:v>
      </x:c>
      <x:c r="F95" s="70" t="str">
        <x:v>Операционный обзор</x:v>
      </x:c>
      <x:c r="G95" s="71" t="n">
        <x:v>5</x:v>
      </x:c>
      <x:c r="H95" s="71" t="n">
        <x:v>5</x:v>
      </x:c>
      <x:c r="I95" s="71" t="n">
        <x:v>2</x:v>
      </x:c>
      <x:c r="J95" s="71" t="n">
        <x:v>5</x:v>
      </x:c>
      <x:c r="K95" s="71" t="n">
        <x:v>3</x:v>
      </x:c>
      <x:c r="L95" s="71" t="n">
        <x:f>G95*6+H95*4+J95*4+(6-I95)*4+(6-K95)*2</x:f>
        <x:v>92</x:v>
      </x:c>
      <x:c r="M95" s="57" t="str">
        <x:f>IF(L95&gt;=80,"P1",IF(L95&gt;=65,"P2","P3"))</x:f>
        <x:v>P1</x:v>
      </x:c>
      <x:c r="N95" s="57" t="str">
        <x:v>I2</x:v>
      </x:c>
      <x:c r="O95" s="57" t="str">
        <x:v>В очереди</x:v>
      </x:c>
      <x:c r="P95" s="72" t="str"/>
      <x:c r="Q95" s="70" t="str">
        <x:v>Подчеркнуть лимиты, расходы, позиции</x:v>
      </x:c>
      <x:c r="R95" s="70" t="str">
        <x:v>https://workspace.ru/blog/top-servisy-dlya-nakrutki-pf-v-2026-godu/</x:v>
      </x:c>
    </x:row>
    <x:row r="96">
      <x:c r="A96" s="57" t="n">
        <x:v>95</x:v>
      </x:c>
      <x:c r="B96" s="70" t="str">
        <x:v>metrichit</x:v>
      </x:c>
      <x:c r="C96" s="70" t="str">
        <x:v>Бренд</x:v>
      </x:c>
      <x:c r="D96" s="70" t="str">
        <x:v>Навигационный</x:v>
      </x:c>
      <x:c r="E96" s="70" t="str">
        <x:v>BOFU</x:v>
      </x:c>
      <x:c r="F96" s="70" t="str">
        <x:v>Брендовая страница</x:v>
      </x:c>
      <x:c r="G96" s="71" t="n">
        <x:v>5</x:v>
      </x:c>
      <x:c r="H96" s="71" t="n">
        <x:v>3</x:v>
      </x:c>
      <x:c r="I96" s="71" t="n">
        <x:v>1</x:v>
      </x:c>
      <x:c r="J96" s="71" t="n">
        <x:v>5</x:v>
      </x:c>
      <x:c r="K96" s="71" t="n">
        <x:v>1</x:v>
      </x:c>
      <x:c r="L96" s="71" t="n">
        <x:f>G96*6+H96*4+J96*4+(6-I96)*4+(6-K96)*2</x:f>
        <x:v>92</x:v>
      </x:c>
      <x:c r="M96" s="57" t="str">
        <x:f>IF(L96&gt;=80,"P1",IF(L96&gt;=65,"P2","P3"))</x:f>
        <x:v>P1</x:v>
      </x:c>
      <x:c r="N96" s="57" t="str">
        <x:v>J1</x:v>
      </x:c>
      <x:c r="O96" s="57" t="str">
        <x:v>В очереди</x:v>
      </x:c>
      <x:c r="P96" s="72" t="str"/>
      <x:c r="Q96" s="70" t="str">
        <x:v>Нужно занять выдачу официальными профилями и статьями</x:v>
      </x:c>
      <x:c r="R96" s="70" t="str">
        <x:v>https://seo-robots.ru/</x:v>
      </x:c>
    </x:row>
    <x:row r="97">
      <x:c r="A97" s="57" t="n">
        <x:v>96</x:v>
      </x:c>
      <x:c r="B97" s="70" t="str">
        <x:v>metric hit</x:v>
      </x:c>
      <x:c r="C97" s="70" t="str">
        <x:v>Бренд</x:v>
      </x:c>
      <x:c r="D97" s="70" t="str">
        <x:v>Навигационный</x:v>
      </x:c>
      <x:c r="E97" s="70" t="str">
        <x:v>BOFU</x:v>
      </x:c>
      <x:c r="F97" s="70" t="str">
        <x:v>Брендовая страница</x:v>
      </x:c>
      <x:c r="G97" s="71" t="n">
        <x:v>5</x:v>
      </x:c>
      <x:c r="H97" s="71" t="n">
        <x:v>3</x:v>
      </x:c>
      <x:c r="I97" s="71" t="n">
        <x:v>1</x:v>
      </x:c>
      <x:c r="J97" s="71" t="n">
        <x:v>5</x:v>
      </x:c>
      <x:c r="K97" s="71" t="n">
        <x:v>1</x:v>
      </x:c>
      <x:c r="L97" s="71" t="n">
        <x:f>G97*6+H97*4+J97*4+(6-I97)*4+(6-K97)*2</x:f>
        <x:v>92</x:v>
      </x:c>
      <x:c r="M97" s="57" t="str">
        <x:f>IF(L97&gt;=80,"P1",IF(L97&gt;=65,"P2","P3"))</x:f>
        <x:v>P1</x:v>
      </x:c>
      <x:c r="N97" s="57" t="str">
        <x:v>J1</x:v>
      </x:c>
      <x:c r="O97" s="57" t="str">
        <x:v>В очереди</x:v>
      </x:c>
      <x:c r="P97" s="72" t="str"/>
      <x:c r="Q97" s="70" t="str">
        <x:v>Раздельное написание</x:v>
      </x:c>
      <x:c r="R97" s="70" t="str">
        <x:v>https://seo-robots.ru/</x:v>
      </x:c>
    </x:row>
    <x:row r="98">
      <x:c r="A98" s="57" t="n">
        <x:v>97</x:v>
      </x:c>
      <x:c r="B98" s="70" t="str">
        <x:v>метрик хит</x:v>
      </x:c>
      <x:c r="C98" s="70" t="str">
        <x:v>Бренд</x:v>
      </x:c>
      <x:c r="D98" s="70" t="str">
        <x:v>Навигационный</x:v>
      </x:c>
      <x:c r="E98" s="70" t="str">
        <x:v>BOFU</x:v>
      </x:c>
      <x:c r="F98" s="70" t="str">
        <x:v>Брендовая страница</x:v>
      </x:c>
      <x:c r="G98" s="71" t="n">
        <x:v>5</x:v>
      </x:c>
      <x:c r="H98" s="71" t="n">
        <x:v>3</x:v>
      </x:c>
      <x:c r="I98" s="71" t="n">
        <x:v>1</x:v>
      </x:c>
      <x:c r="J98" s="71" t="n">
        <x:v>5</x:v>
      </x:c>
      <x:c r="K98" s="71" t="n">
        <x:v>1</x:v>
      </x:c>
      <x:c r="L98" s="71" t="n">
        <x:f>G98*6+H98*4+J98*4+(6-I98)*4+(6-K98)*2</x:f>
        <x:v>92</x:v>
      </x:c>
      <x:c r="M98" s="57" t="str">
        <x:f>IF(L98&gt;=80,"P1",IF(L98&gt;=65,"P2","P3"))</x:f>
        <x:v>P1</x:v>
      </x:c>
      <x:c r="N98" s="57" t="str">
        <x:v>J1</x:v>
      </x:c>
      <x:c r="O98" s="57" t="str">
        <x:v>В очереди</x:v>
      </x:c>
      <x:c r="P98" s="72" t="str"/>
      <x:c r="Q98" s="70" t="str">
        <x:v>Русская транслитерация</x:v>
      </x:c>
      <x:c r="R98" s="70" t="str">
        <x:v>https://seo-robots.ru/</x:v>
      </x:c>
    </x:row>
    <x:row r="99">
      <x:c r="A99" s="57" t="n">
        <x:v>98</x:v>
      </x:c>
      <x:c r="B99" s="70" t="str">
        <x:v>mtrhit</x:v>
      </x:c>
      <x:c r="C99" s="70" t="str">
        <x:v>Бренд</x:v>
      </x:c>
      <x:c r="D99" s="70" t="str">
        <x:v>Навигационный</x:v>
      </x:c>
      <x:c r="E99" s="70" t="str">
        <x:v>BOFU</x:v>
      </x:c>
      <x:c r="F99" s="70" t="str">
        <x:v>Брендовая страница</x:v>
      </x:c>
      <x:c r="G99" s="71" t="n">
        <x:v>5</x:v>
      </x:c>
      <x:c r="H99" s="71" t="n">
        <x:v>3</x:v>
      </x:c>
      <x:c r="I99" s="71" t="n">
        <x:v>1</x:v>
      </x:c>
      <x:c r="J99" s="71" t="n">
        <x:v>5</x:v>
      </x:c>
      <x:c r="K99" s="71" t="n">
        <x:v>1</x:v>
      </x:c>
      <x:c r="L99" s="71" t="n">
        <x:f>G99*6+H99*4+J99*4+(6-I99)*4+(6-K99)*2</x:f>
        <x:v>92</x:v>
      </x:c>
      <x:c r="M99" s="57" t="str">
        <x:f>IF(L99&gt;=80,"P1",IF(L99&gt;=65,"P2","P3"))</x:f>
        <x:v>P1</x:v>
      </x:c>
      <x:c r="N99" s="57" t="str">
        <x:v>J1</x:v>
      </x:c>
      <x:c r="O99" s="57" t="str">
        <x:v>В очереди</x:v>
      </x:c>
      <x:c r="P99" s="72" t="str"/>
      <x:c r="Q99" s="70" t="str">
        <x:v>Доменная форма</x:v>
      </x:c>
      <x:c r="R99" s="70" t="str">
        <x:v>https://seo-robots.ru/</x:v>
      </x:c>
    </x:row>
    <x:row r="100">
      <x:c r="A100" s="57" t="n">
        <x:v>99</x:v>
      </x:c>
      <x:c r="B100" s="70" t="str">
        <x:v>metrichit отзывы</x:v>
      </x:c>
      <x:c r="C100" s="70" t="str">
        <x:v>Бренд</x:v>
      </x:c>
      <x:c r="D100" s="70" t="str">
        <x:v>Репутационный</x:v>
      </x:c>
      <x:c r="E100" s="70" t="str">
        <x:v>BOFU</x:v>
      </x:c>
      <x:c r="F100" s="70" t="str">
        <x:v>Отзывы/разбор</x:v>
      </x:c>
      <x:c r="G100" s="71" t="n">
        <x:v>5</x:v>
      </x:c>
      <x:c r="H100" s="71" t="n">
        <x:v>4</x:v>
      </x:c>
      <x:c r="I100" s="71" t="n">
        <x:v>2</x:v>
      </x:c>
      <x:c r="J100" s="71" t="n">
        <x:v>5</x:v>
      </x:c>
      <x:c r="K100" s="71" t="n">
        <x:v>4</x:v>
      </x:c>
      <x:c r="L100" s="71" t="n">
        <x:f>G100*6+H100*4+J100*4+(6-I100)*4+(6-K100)*2</x:f>
        <x:v>86</x:v>
      </x:c>
      <x:c r="M100" s="57" t="str">
        <x:f>IF(L100&gt;=80,"P1",IF(L100&gt;=65,"P2","P3"))</x:f>
        <x:v>P1</x:v>
      </x:c>
      <x:c r="N100" s="57" t="str">
        <x:v>J2</x:v>
      </x:c>
      <x:c r="O100" s="57" t="str">
        <x:v>В очереди</x:v>
      </x:c>
      <x:c r="P100" s="72" t="str"/>
      <x:c r="Q100" s="70" t="str">
        <x:v>Не создавать фальшивые отзывы</x:v>
      </x:c>
      <x:c r="R100" s="70" t="str">
        <x:v>https://seo-robots.ru/</x:v>
      </x:c>
    </x:row>
    <x:row r="101">
      <x:c r="A101" s="57" t="n">
        <x:v>100</x:v>
      </x:c>
      <x:c r="B101" s="70" t="str">
        <x:v>metrichit сервис пф</x:v>
      </x:c>
      <x:c r="C101" s="70" t="str">
        <x:v>Бренд</x:v>
      </x:c>
      <x:c r="D101" s="70" t="str">
        <x:v>Навигационный</x:v>
      </x:c>
      <x:c r="E101" s="70" t="str">
        <x:v>BOFU</x:v>
      </x:c>
      <x:c r="F101" s="70" t="str">
        <x:v>Брендовая страница</x:v>
      </x:c>
      <x:c r="G101" s="71" t="n">
        <x:v>5</x:v>
      </x:c>
      <x:c r="H101" s="71" t="n">
        <x:v>4</x:v>
      </x:c>
      <x:c r="I101" s="71" t="n">
        <x:v>1</x:v>
      </x:c>
      <x:c r="J101" s="71" t="n">
        <x:v>5</x:v>
      </x:c>
      <x:c r="K101" s="71" t="n">
        <x:v>2</x:v>
      </x:c>
      <x:c r="L101" s="71" t="n">
        <x:f>G101*6+H101*4+J101*4+(6-I101)*4+(6-K101)*2</x:f>
        <x:v>94</x:v>
      </x:c>
      <x:c r="M101" s="57" t="str">
        <x:f>IF(L101&gt;=80,"P1",IF(L101&gt;=65,"P2","P3"))</x:f>
        <x:v>P1</x:v>
      </x:c>
      <x:c r="N101" s="57" t="str">
        <x:v>J2</x:v>
      </x:c>
      <x:c r="O101" s="57" t="str">
        <x:v>В очереди</x:v>
      </x:c>
      <x:c r="P101" s="72" t="str"/>
      <x:c r="Q101" s="70" t="str">
        <x:v>Связка бренда и категории</x:v>
      </x:c>
      <x:c r="R101" s="70" t="str">
        <x:v>https://seo-robots.ru/</x:v>
      </x:c>
    </x:row>
  </x:sheetData>
  <x:conditionalFormatting sqref="L2:L101">
    <x:cfRule type="colorScale" priority="1">
      <x:colorScale>
        <x:cfvo type="min"/>
        <x:cfvo type="percentile" val="50"/>
        <x:cfvo type="max"/>
        <x:color rgb="FFFECACA"/>
        <x:color rgb="FFFEF3C7"/>
        <x:color rgb="FFBBF7D0"/>
      </x:colorScale>
    </x:cfRule>
  </x:conditionalFormatting>
  <x:conditionalFormatting sqref="M2:M101">
    <x:cfRule type="containsText" dxfId="0" priority="2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167c221026244e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48" hidden="0" customWidth="1"/>
    <x:col min="4" max="4" width="34" hidden="0" customWidth="1"/>
    <x:col min="5" max="5" width="34" hidden="0" customWidth="1"/>
    <x:col min="6" max="6" width="14" hidden="0" customWidth="1"/>
    <x:col min="7" max="7" width="14" hidden="0" customWidth="1"/>
    <x:col min="8" max="8" width="14" hidden="0" customWidth="1"/>
    <x:col min="9" max="9" width="44" hidden="0" customWidth="1"/>
    <x:col min="10" max="10" width="16" hidden="0" customWidth="1"/>
  </x:cols>
  <x:sheetData>
    <x:row r="1">
      <x:c r="A1" s="69" t="str">
        <x:v>Код</x:v>
      </x:c>
      <x:c r="B1" s="69" t="str">
        <x:v>Площадка</x:v>
      </x:c>
      <x:c r="C1" s="69" t="str">
        <x:v>Заголовок</x:v>
      </x:c>
      <x:c r="D1" s="69" t="str">
        <x:v>Основной запрос</x:v>
      </x:c>
      <x:c r="E1" s="69" t="str">
        <x:v>Дополнительные запросы</x:v>
      </x:c>
      <x:c r="F1" s="69" t="str">
        <x:v>Воронка</x:v>
      </x:c>
      <x:c r="G1" s="69" t="str">
        <x:v>CTA</x:v>
      </x:c>
      <x:c r="H1" s="69" t="str">
        <x:v>Приоритет</x:v>
      </x:c>
      <x:c r="I1" s="69" t="str">
        <x:v>Комментарий</x:v>
      </x:c>
      <x:c r="J1" s="69" t="str">
        <x:v>Статус</x:v>
      </x:c>
    </x:row>
    <x:row r="2">
      <x:c r="A2" s="57" t="str">
        <x:v>A1</x:v>
      </x:c>
      <x:c r="B2" s="70" t="str">
        <x:v>Workspace</x:v>
      </x:c>
      <x:c r="C2" s="70" t="str">
        <x:v>Сервис накрутки ПФ: как выбрать инструмент по модели оплаты, контролю и отчетности</x:v>
      </x:c>
      <x:c r="D2" s="70" t="str">
        <x:v>сервис накрутки пф</x:v>
      </x:c>
      <x:c r="E2" s="70" t="str">
        <x:v>сервис поведенческих факторов; сервис пф для SEO-специалистов</x:v>
      </x:c>
      <x:c r="F2" s="70" t="str">
        <x:v>BOFU</x:v>
      </x:c>
      <x:c r="G2" s="70" t="str">
        <x:v>Сайт MetricHit / регистрация</x:v>
      </x:c>
      <x:c r="H2" s="70" t="str">
        <x:v>P1</x:v>
      </x:c>
      <x:c r="I2" s="70" t="str">
        <x:v>Первая новая статья. Не делать очередной бездоказательный рейтинг.</x:v>
      </x:c>
      <x:c r="J2" s="70" t="str">
        <x:v>Запланирована</x:v>
      </x:c>
    </x:row>
    <x:row r="3">
      <x:c r="A3" s="57" t="str">
        <x:v>C1</x:v>
      </x:c>
      <x:c r="B3" s="70" t="str">
        <x:v>Следующая трастовая площадка</x:v>
      </x:c>
      <x:c r="C3" s="70" t="str">
        <x:v>Сколько стоит накрутка ПФ и из чего складывается бюджет</x:v>
      </x:c>
      <x:c r="D3" s="70" t="str">
        <x:v>накрутка пф цена</x:v>
      </x:c>
      <x:c r="E3" s="70" t="str">
        <x:v>стоимость накрутки пф; цена клика пф; бюджет на накрутку пф</x:v>
      </x:c>
      <x:c r="F3" s="70" t="str">
        <x:v>BOFU</x:v>
      </x:c>
      <x:c r="G3" s="70" t="str">
        <x:v>Регистрация</x:v>
      </x:c>
      <x:c r="H3" s="70" t="str">
        <x:v>P1</x:v>
      </x:c>
      <x:c r="I3" s="70" t="str">
        <x:v>Подходит тарифная сетка MetricHit; не придумывать среднерыночные цены.</x:v>
      </x:c>
      <x:c r="J3" s="70" t="str">
        <x:v>Запланирована</x:v>
      </x:c>
    </x:row>
    <x:row r="4">
      <x:c r="A4" s="57" t="str">
        <x:v>B1</x:v>
      </x:c>
      <x:c r="B4" s="70" t="str">
        <x:v>Трастовая площадка</x:v>
      </x:c>
      <x:c r="C4" s="70" t="str">
        <x:v>Накрутка ПФ в Яндексе: возможности, ограничения и критерии готовности сайта</x:v>
      </x:c>
      <x:c r="D4" s="70" t="str">
        <x:v>накрутка пф яндекс</x:v>
      </x:c>
      <x:c r="E4" s="70" t="str">
        <x:v>накрутка поведенческих факторов сайта; продвижение поведенческими факторами</x:v>
      </x:c>
      <x:c r="F4" s="70" t="str">
        <x:v>BOFU</x:v>
      </x:c>
      <x:c r="G4" s="70" t="str">
        <x:v>Сайт MetricHit</x:v>
      </x:c>
      <x:c r="H4" s="70" t="str">
        <x:v>P1</x:v>
      </x:c>
      <x:c r="I4" s="70" t="str">
        <x:v>Опорная страница кластера, нужна сильная площадка.</x:v>
      </x:c>
      <x:c r="J4" s="70" t="str">
        <x:v>Запланирована</x:v>
      </x:c>
    </x:row>
    <x:row r="5">
      <x:c r="A5" s="57" t="str">
        <x:v>A2</x:v>
      </x:c>
      <x:c r="B5" s="70" t="str">
        <x:v>Трастовая площадка</x:v>
      </x:c>
      <x:c r="C5" s="70" t="str">
        <x:v>Как сравнивать сервисы накрутки ПФ: 9 проверяемых критериев</x:v>
      </x:c>
      <x:c r="D5" s="70" t="str">
        <x:v>сервисы для накрутки пф</x:v>
      </x:c>
      <x:c r="E5" s="70" t="str">
        <x:v>лучший сервис накрутки пф; рейтинг сервисов накрутки пф</x:v>
      </x:c>
      <x:c r="F5" s="70" t="str">
        <x:v>BOFU</x:v>
      </x:c>
      <x:c r="G5" s="70" t="str">
        <x:v>Тест MetricHit</x:v>
      </x:c>
      <x:c r="H5" s="70" t="str">
        <x:v>P1</x:v>
      </x:c>
      <x:c r="I5" s="70" t="str">
        <x:v>Рейтинг допустим только после реального исследования конкурентов.</x:v>
      </x:c>
      <x:c r="J5" s="70" t="str">
        <x:v>Запланирована</x:v>
      </x:c>
    </x:row>
    <x:row r="6">
      <x:c r="A6" s="57" t="str">
        <x:v>G4</x:v>
      </x:c>
      <x:c r="B6" s="70" t="str">
        <x:v>Workspace или профильное медиа</x:v>
      </x:c>
      <x:c r="C6" s="70" t="str">
        <x:v>Накрутка ПФ самостоятельно: что подготовить до первого запуска</x:v>
      </x:c>
      <x:c r="D6" s="70" t="str">
        <x:v>накрутка пф самостоятельно</x:v>
      </x:c>
      <x:c r="E6" s="70" t="str">
        <x:v>как запустить накрутку пф; настройка проекта пф</x:v>
      </x:c>
      <x:c r="F6" s="70" t="str">
        <x:v>BOFU</x:v>
      </x:c>
      <x:c r="G6" s="70" t="str">
        <x:v>Регистрация</x:v>
      </x:c>
      <x:c r="H6" s="70" t="str">
        <x:v>P1</x:v>
      </x:c>
      <x:c r="I6" s="70" t="str">
        <x:v>Без операционных деталей обхода защиты.</x:v>
      </x:c>
      <x:c r="J6" s="70" t="str">
        <x:v>Запланирована</x:v>
      </x:c>
    </x:row>
    <x:row r="7">
      <x:c r="A7" s="57" t="str">
        <x:v>A4</x:v>
      </x:c>
      <x:c r="B7" s="70" t="str">
        <x:v>Workspace</x:v>
      </x:c>
      <x:c r="C7" s="70" t="str">
        <x:v>Как SEO-агентству управлять ПФ по нескольким проектам</x:v>
      </x:c>
      <x:c r="D7" s="70" t="str">
        <x:v>сервис пф для агентств</x:v>
      </x:c>
      <x:c r="E7" s="70" t="str">
        <x:v>пф для SEO-агентства; управление ПФ нескольких проектов</x:v>
      </x:c>
      <x:c r="F7" s="70" t="str">
        <x:v>BOFU</x:v>
      </x:c>
      <x:c r="G7" s="70" t="str">
        <x:v>Индивидуальные условия</x:v>
      </x:c>
      <x:c r="H7" s="70" t="str">
        <x:v>P1</x:v>
      </x:c>
      <x:c r="I7" s="70" t="str">
        <x:v>Сильный B2B long-tail, вероятно меньше трафика, но качественнее лиды.</x:v>
      </x:c>
      <x:c r="J7" s="70" t="str">
        <x:v>Запланирована</x:v>
      </x:c>
    </x:row>
    <x:row r="8">
      <x:c r="A8" s="57" t="str">
        <x:v>E1</x:v>
      </x:c>
      <x:c r="B8" s="70" t="str">
        <x:v>Sostav / отраслевое медиа</x:v>
      </x:c>
      <x:c r="C8" s="70" t="str">
        <x:v>Накрутка ПФ: какие риски нужно учитывать до запуска</x:v>
      </x:c>
      <x:c r="D8" s="70" t="str">
        <x:v>накрутка пф риски</x:v>
      </x:c>
      <x:c r="E8" s="70" t="str">
        <x:v>последствия; санкции; можно ли накручивать ПФ</x:v>
      </x:c>
      <x:c r="F8" s="70" t="str">
        <x:v>MOFU</x:v>
      </x:c>
      <x:c r="G8" s="70" t="str">
        <x:v>Узнать о сервисе</x:v>
      </x:c>
      <x:c r="H8" s="70" t="str">
        <x:v>P2</x:v>
      </x:c>
      <x:c r="I8" s="70" t="str">
        <x:v>Доверительный материал; нулевой риск не обещать.</x:v>
      </x:c>
      <x:c r="J8" s="70" t="str">
        <x:v>Запланирована</x:v>
      </x:c>
    </x:row>
    <x:row r="9">
      <x:c r="A9" s="57" t="str">
        <x:v>F2</x:v>
      </x:c>
      <x:c r="B9" s="70" t="str">
        <x:v>Дзен / бизнес-медиа</x:v>
      </x:c>
      <x:c r="C9" s="70" t="str">
        <x:v>Почему сайт застрял на второй странице Яндекса</x:v>
      </x:c>
      <x:c r="D9" s="70" t="str">
        <x:v>сайт застрял на второй странице яндекса</x:v>
      </x:c>
      <x:c r="E9" s="70" t="str">
        <x:v>сайт застрял в топ 20; позиции не растут</x:v>
      </x:c>
      <x:c r="F9" s="70" t="str">
        <x:v>MOFU</x:v>
      </x:c>
      <x:c r="G9" s="70" t="str">
        <x:v>Сайт MetricHit</x:v>
      </x:c>
      <x:c r="H9" s="70" t="str">
        <x:v>P2</x:v>
      </x:c>
      <x:c r="I9" s="70" t="str">
        <x:v>После технической и коммерческой диагностики показать роль ПФ.</x:v>
      </x:c>
      <x:c r="J9" s="70" t="str">
        <x:v>Запланирована</x:v>
      </x:c>
    </x:row>
    <x:row r="10">
      <x:c r="A10" s="57" t="str">
        <x:v>G5</x:v>
      </x:c>
      <x:c r="B10" s="70" t="str">
        <x:v>Дзен / Timeweb при согласовании</x:v>
      </x:c>
      <x:c r="C10" s="70" t="str">
        <x:v>Когда ПФ не помогут: чек-лист готовности сайта</x:v>
      </x:c>
      <x:c r="D10" s="70" t="str">
        <x:v>когда пф не помогут</x:v>
      </x:c>
      <x:c r="E10" s="70" t="str">
        <x:v>когда начинать накрутку пф; что проверить перед ПФ</x:v>
      </x:c>
      <x:c r="F10" s="70" t="str">
        <x:v>MOFU</x:v>
      </x:c>
      <x:c r="G10" s="70" t="str">
        <x:v>Узнать о MetricHit</x:v>
      </x:c>
      <x:c r="H10" s="70" t="str">
        <x:v>P2</x:v>
      </x:c>
      <x:c r="I10" s="70" t="str">
        <x:v>Уникальная расширенная версия, не копировать Telegram/VK.</x:v>
      </x:c>
      <x:c r="J10" s="70" t="str">
        <x:v>Запланирована</x:v>
      </x:c>
    </x:row>
    <x:row r="11">
      <x:c r="A11" s="57" t="str">
        <x:v>H1</x:v>
      </x:c>
      <x:c r="B11" s="70" t="str">
        <x:v>Дзен / Workspace</x:v>
      </x:c>
      <x:c r="C11" s="70" t="str">
        <x:v>Можно ли остановить ПФ после выхода в ТОП</x:v>
      </x:c>
      <x:c r="D11" s="70" t="str">
        <x:v>можно ли остановить пф после выхода в топ</x:v>
      </x:c>
      <x:c r="E11" s="70" t="str">
        <x:v>как долго накручивать ПФ; когда останавливать</x:v>
      </x:c>
      <x:c r="F11" s="70" t="str">
        <x:v>MOFU</x:v>
      </x:c>
      <x:c r="G11" s="70" t="str">
        <x:v>Сайт MetricHit</x:v>
      </x:c>
      <x:c r="H11" s="70" t="str">
        <x:v>P2</x:v>
      </x:c>
      <x:c r="I11" s="70" t="str">
        <x:v>Не формулировать универсальные сроки и режимы.</x:v>
      </x:c>
      <x:c r="J11" s="70" t="str">
        <x:v>Запланирована</x:v>
      </x:c>
    </x:row>
    <x:row r="12">
      <x:c r="A12" s="57" t="str">
        <x:v>H3</x:v>
      </x:c>
      <x:c r="B12" s="70" t="str">
        <x:v>Timeweb при согласовании</x:v>
      </x:c>
      <x:c r="C12" s="70" t="str">
        <x:v>Как измерить результат SEO-эксперимента в Яндекс Метрике</x:v>
      </x:c>
      <x:c r="D12" s="70" t="str">
        <x:v>как оценить результат пф</x:v>
      </x:c>
      <x:c r="E12" s="70" t="str">
        <x:v>аналитика накрутки ПФ; позиции, клики, расходы</x:v>
      </x:c>
      <x:c r="F12" s="70" t="str">
        <x:v>MOFU</x:v>
      </x:c>
      <x:c r="G12" s="70" t="str">
        <x:v>Без коммерческого CTA либо упоминание автора</x:v>
      </x:c>
      <x:c r="H12" s="70" t="str">
        <x:v>P2</x:v>
      </x:c>
      <x:c r="I12" s="70" t="str">
        <x:v>Тема уже отправлена редакции.</x:v>
      </x:c>
      <x:c r="J12" s="70" t="str">
        <x:v>Запланирована</x:v>
      </x:c>
    </x:row>
    <x:row r="13">
      <x:c r="A13" s="57" t="str">
        <x:v>I1</x:v>
      </x:c>
      <x:c r="B13" s="70" t="str">
        <x:v>Oborot после одобрения</x:v>
      </x:c>
      <x:c r="C13" s="70" t="str">
        <x:v>Поведенческие факторы интернет-магазина: какие страницы готовить к продвижению</x:v>
      </x:c>
      <x:c r="D13" s="70" t="str">
        <x:v>поведенческие факторы для интернет магазина</x:v>
      </x:c>
      <x:c r="E13" s="70" t="str">
        <x:v>накрутка ПФ интернет-магазина; продвижение категорий</x:v>
      </x:c>
      <x:c r="F13" s="70" t="str">
        <x:v>MOFU</x:v>
      </x:c>
      <x:c r="G13" s="70" t="str">
        <x:v>Сайт MetricHit</x:v>
      </x:c>
      <x:c r="H13" s="70" t="str">
        <x:v>P2</x:v>
      </x:c>
      <x:c r="I13" s="70" t="str">
        <x:v>Оригинальный e-commerce материал.</x:v>
      </x:c>
      <x:c r="J13" s="70" t="str">
        <x:v>Запланирована</x:v>
      </x:c>
    </x:row>
    <x:row r="14">
      <x:c r="A14" s="57" t="str">
        <x:v>D3</x:v>
      </x:c>
      <x:c r="B14" s="70" t="str">
        <x:v>Дзен / SEO-медиа</x:v>
      </x:c>
      <x:c r="C14" s="70" t="str">
        <x:v>Как проверить поведенческие факторы сайта: Метрика, Вебмастер и бизнес-метрики</x:v>
      </x:c>
      <x:c r="D14" s="70" t="str">
        <x:v>как проверить поведенческие факторы сайта</x:v>
      </x:c>
      <x:c r="E14" s="70" t="str">
        <x:v>анализ ПФ; метрики ПФ</x:v>
      </x:c>
      <x:c r="F14" s="70" t="str">
        <x:v>MOFU</x:v>
      </x:c>
      <x:c r="G14" s="70" t="str">
        <x:v>Узнать о MetricHit</x:v>
      </x:c>
      <x:c r="H14" s="70" t="str">
        <x:v>P3</x:v>
      </x:c>
      <x:c r="I14" s="70" t="str">
        <x:v>Широкая образовательная статья.</x:v>
      </x:c>
      <x:c r="J14" s="70" t="str">
        <x:v>Запланирована</x:v>
      </x:c>
    </x:row>
    <x:row r="15">
      <x:c r="A15" s="57" t="str">
        <x:v>C4</x:v>
      </x:c>
      <x:c r="B15" s="70" t="str">
        <x:v>SEO-медиа</x:v>
      </x:c>
      <x:c r="C15" s="70" t="str">
        <x:v>Сколько кликов нужно для ПФ: почему универсальной цифры не существует</x:v>
      </x:c>
      <x:c r="D15" s="70" t="str">
        <x:v>сколько кликов нужно для пф</x:v>
      </x:c>
      <x:c r="E15" s="70" t="str">
        <x:v>дневной лимит кликов ПФ; бюджет</x:v>
      </x:c>
      <x:c r="F15" s="70" t="str">
        <x:v>MOFU</x:v>
      </x:c>
      <x:c r="G15" s="70" t="str">
        <x:v>Тест MetricHit</x:v>
      </x:c>
      <x:c r="H15" s="70" t="str">
        <x:v>P3</x:v>
      </x:c>
      <x:c r="I15" s="70" t="str">
        <x:v>Не давать антифрод-рецептов.</x:v>
      </x:c>
      <x:c r="J15" s="70" t="str">
        <x:v>Запланирована</x:v>
      </x:c>
    </x:row>
    <x:row r="16">
      <x:c r="A16" s="57" t="str">
        <x:v>J1</x:v>
      </x:c>
      <x:c r="B16" s="70" t="str">
        <x:v>Профили и карточки площадок</x:v>
      </x:c>
      <x:c r="C16" s="70" t="str">
        <x:v>Что такое MetricHit: модель оплаты, аудитория и возможности</x:v>
      </x:c>
      <x:c r="D16" s="70" t="str">
        <x:v>metrichit</x:v>
      </x:c>
      <x:c r="E16" s="70" t="str">
        <x:v>metric hit; метрик хит; mtrhit</x:v>
      </x:c>
      <x:c r="F16" s="70" t="str">
        <x:v>BOFU</x:v>
      </x:c>
      <x:c r="G16" s="70" t="str">
        <x:v>Регистрация</x:v>
      </x:c>
      <x:c r="H16" s="70" t="str">
        <x:v>P1</x:v>
      </x:c>
      <x:c r="I16" s="70" t="str">
        <x:v>Брендовая SERP-защита; факты должны совпадать на всех площадках.</x:v>
      </x:c>
      <x:c r="J16" s="70" t="str">
        <x:v>Запланирована</x:v>
      </x:c>
    </x:row>
  </x:sheetData>
  <x:conditionalFormatting sqref="H2:H16">
    <x:cfRule type="containsText" dxfId="1" priority="1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316f699ebfb848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52" hidden="0" customWidth="1"/>
    <x:col min="4" max="4" width="34" hidden="0" customWidth="1"/>
    <x:col min="5" max="5" width="42" hidden="0" customWidth="1"/>
    <x:col min="6" max="6" width="16" hidden="0" customWidth="1"/>
  </x:cols>
  <x:sheetData>
    <x:row r="1">
      <x:c r="A1" s="65" t="str">
        <x:v>Дата</x:v>
      </x:c>
      <x:c r="B1" s="65" t="str">
        <x:v>Площадка</x:v>
      </x:c>
      <x:c r="C1" s="65" t="str">
        <x:v>Статья</x:v>
      </x:c>
      <x:c r="D1" s="65" t="str">
        <x:v>Основной кластер</x:v>
      </x:c>
      <x:c r="E1" s="65" t="str">
        <x:v>Ссылка</x:v>
      </x:c>
      <x:c r="F1" s="65" t="str">
        <x:v>Статус</x:v>
      </x:c>
    </x:row>
    <x:row r="2">
      <x:c r="A2" s="73" t="n">
        <x:v>46245</x:v>
      </x:c>
      <x:c r="B2" s="70" t="str">
        <x:v>Дзен</x:v>
      </x:c>
      <x:c r="C2" s="70" t="str">
        <x:v>Поведенческие факторы в Яндексе: почему хороший сайт может годами не выходить в ТОП</x:v>
      </x:c>
      <x:c r="D2" s="70" t="str">
        <x:v>поведенческие факторы яндекс</x:v>
      </x:c>
      <x:c r="E2" s="70" t="str">
        <x:v>https://dzen.ru/a/ansfBOH4cwwyLWEA</x:v>
      </x:c>
      <x:c r="F2" s="70" t="str">
        <x:v>Опубликована</x:v>
      </x:c>
    </x:row>
    <x:row r="3">
      <x:c r="A3" s="73" t="n">
        <x:v>46246</x:v>
      </x:c>
      <x:c r="B3" s="70" t="str">
        <x:v>Дзен</x:v>
      </x:c>
      <x:c r="C3" s="70" t="str">
        <x:v>Почему не стоит начинать продвижение с самых популярных запросов</x:v>
      </x:c>
      <x:c r="D3" s="70" t="str">
        <x:v>с каких запросов начинать продвижение сайта</x:v>
      </x:c>
      <x:c r="E3" s="70" t="str">
        <x:v>https://dzen.ru/a/antQlAKap3R6bj1V</x:v>
      </x:c>
      <x:c r="F3" s="70" t="str">
        <x:v>Опубликована</x:v>
      </x:c>
    </x:row>
    <x:row r="4">
      <x:c r="A4" s="73" t="n">
        <x:v>46247</x:v>
      </x:c>
      <x:c r="B4" s="70" t="str">
        <x:v>Дзен</x:v>
      </x:c>
      <x:c r="C4" s="70" t="str">
        <x:v>Почему нельзя продвигать все запросы на одну страницу</x:v>
      </x:c>
      <x:c r="D4" s="70" t="str">
        <x:v>как распределить запросы по страницам</x:v>
      </x:c>
      <x:c r="E4" s="70" t="str">
        <x:v>https://dzen.ru/a/an2_q3WK_zXvqrLz</x:v>
      </x:c>
      <x:c r="F4" s="70" t="str">
        <x:v>Опубликована</x:v>
      </x:c>
    </x:row>
    <x:row r="5">
      <x:c r="A5" s="73" t="n">
        <x:v>46246</x:v>
      </x:c>
      <x:c r="B5" s="70" t="str">
        <x:v>Sostav / SBlogs</x:v>
      </x:c>
      <x:c r="C5" s="70" t="str">
        <x:v>SEO вывело сайт в ТОП, а продажи не выросли: где ломается воронка</x:v>
      </x:c>
      <x:c r="D5" s="70" t="str">
        <x:v>трафик растет а продаж нет</x:v>
      </x:c>
      <x:c r="E5" s="70" t="str">
        <x:v>https://www.sostav.ru/blogs/293151/101025</x:v>
      </x:c>
      <x:c r="F5" s="70" t="str">
        <x:v>Опубликована</x:v>
      </x:c>
    </x:row>
  </x:sheetData>
  <x:pageMargins left="0.7" right="0.7" top="0.75" bottom="0.75" header="0.3" footer="0.3"/>
  <x:tableParts count="1">
    <x:tablePart xmlns:r="http://schemas.openxmlformats.org/officeDocument/2006/relationships" r:id="Rac6d575e5ea94d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5" hidden="0" customWidth="1"/>
    <x:col min="3" max="3" width="62" hidden="0" customWidth="1"/>
    <x:col min="4" max="4" width="14" hidden="0" customWidth="1"/>
  </x:cols>
  <x:sheetData>
    <x:row r="1">
      <x:c r="A1" s="65" t="str">
        <x:v>Источник</x:v>
      </x:c>
      <x:c r="B1" s="65" t="str">
        <x:v>URL</x:v>
      </x:c>
      <x:c r="C1" s="65" t="str">
        <x:v>Как использован</x:v>
      </x:c>
      <x:c r="D1" s="65" t="str">
        <x:v>Проверено</x:v>
      </x:c>
    </x:row>
    <x:row r="2">
      <x:c r="A2" s="70" t="str">
        <x:v>Коммерческая выдача / сервисы ПФ</x:v>
      </x:c>
      <x:c r="B2" s="70" t="str">
        <x:v>https://partnerkin.com/services/c/servisy-dlya-nakrutki-povedencheskikh-faktorov</x:v>
      </x:c>
      <x:c r="C2" s="70" t="str">
        <x:v>В выдаче присутствуют рейтинги и подборки сервисов; подтверждает коммерческий интент кластера.</x:v>
      </x:c>
      <x:c r="D2" s="73" t="n">
        <x:v>46247</x:v>
      </x:c>
    </x:row>
    <x:row r="3">
      <x:c r="A3" s="70" t="str">
        <x:v>Коммерческий лендинг сервиса ПФ</x:v>
      </x:c>
      <x:c r="B3" s="70" t="str">
        <x:v>https://seo-robots.ru/</x:v>
      </x:c>
      <x:c r="C3" s="70" t="str">
        <x:v>Подтверждает используемые рынком формулировки: сервис, накрутка ПФ, цена за клик, управление кампанией.</x:v>
      </x:c>
      <x:c r="D3" s="73" t="n">
        <x:v>46247</x:v>
      </x:c>
    </x:row>
    <x:row r="4">
      <x:c r="A4" s="70" t="str">
        <x:v>Риски и фильтры</x:v>
      </x:c>
      <x:c r="B4" s="70" t="str">
        <x:v>https://tools.pixelplus.ru/optimization/filtr-za-nakrutku-pf-yandex</x:v>
      </x:c>
      <x:c r="C4" s="70" t="str">
        <x:v>Источник для чувствительных формулировок о санкциях; не использовать как основание для обещания безопасности.</x:v>
      </x:c>
      <x:c r="D4" s="73" t="n">
        <x:v>46247</x:v>
      </x:c>
    </x:row>
    <x:row r="5">
      <x:c r="A5" s="70" t="str">
        <x:v>Улучшение ПФ</x:v>
      </x:c>
      <x:c r="B5" s="70" t="str">
        <x:v>https://kokoc.com/blog/povedencheskie-faktory-sajta-kak-uluchshit/</x:v>
      </x:c>
      <x:c r="C5" s="70" t="str">
        <x:v>Подтверждает информационный спрос на проверку и улучшение ПФ.</x:v>
      </x:c>
      <x:c r="D5" s="73" t="n">
        <x:v>46247</x:v>
      </x:c>
    </x:row>
    <x:row r="6">
      <x:c r="A6" s="70" t="str">
        <x:v>Яндекс: соответствие запросу</x:v>
      </x:c>
      <x:c r="B6" s="70" t="str">
        <x:v>https://yandex.ru/support/webmaster/ru/recommendations/targeting?lang=ru</x:v>
      </x:c>
      <x:c r="C6" s="70" t="str">
        <x:v>Официальный источник о соответствии контента формулировке запроса.</x:v>
      </x:c>
      <x:c r="D6" s="73" t="n">
        <x:v>46247</x:v>
      </x:c>
    </x:row>
    <x:row r="7">
      <x:c r="A7" s="70" t="str">
        <x:v>Яндекс: структура сайта</x:v>
      </x:c>
      <x:c r="B7" s="70" t="str">
        <x:v>https://yandex.ru/support/webmaster/ru/recommendations/site-structure</x:v>
      </x:c>
      <x:c r="C7" s="70" t="str">
        <x:v>Официальный источник о понятной ссылочной структуре.</x:v>
      </x:c>
      <x:c r="D7" s="73" t="n">
        <x:v>46247</x:v>
      </x:c>
    </x:row>
    <x:row r="8">
      <x:c r="A8" s="70" t="str">
        <x:v>Workspace: топ сервисов ПФ</x:v>
      </x:c>
      <x:c r="B8" s="70" t="str">
        <x:v>https://workspace.ru/blog/top-servisy-dlya-nakrutki-pf-v-2026-godu/</x:v>
      </x:c>
      <x:c r="C8" s="70" t="str">
        <x:v>Подтверждает насыщенность Workspace материалами по широкому рейтинговому кластеру.</x:v>
      </x:c>
      <x:c r="D8" s="73" t="n">
        <x:v>46247</x:v>
      </x:c>
    </x:row>
    <x:row r="9">
      <x:c r="A9" s="70" t="str">
        <x:v>Workspace: цена ПФ / SEO / Директ</x:v>
      </x:c>
      <x:c r="B9" s="70" t="str">
        <x:v>https://workspace.ru/blog/nakrutka-pf-direkt-ili-seo-chto-vygodnee-i-skolko-stoit-zayavka-v-kazhdom-iz-3-kanalov/</x:v>
      </x:c>
      <x:c r="C9" s="70" t="str">
        <x:v>Подтверждает наличие статьи по общему ценовому сравнению на Workspace.</x:v>
      </x:c>
      <x:c r="D9" s="73" t="n">
        <x:v>46247</x:v>
      </x:c>
    </x:row>
    <x:row r="10">
      <x:c r="A10" s="70" t="str">
        <x:v>Ограничение исследования</x:v>
      </x:c>
      <x:c r="B10" s="70" t="str">
        <x:v>—</x:v>
      </x:c>
      <x:c r="C10" s="70" t="str">
        <x:v>Точная частотность не указана: нужен экспорт Яндекс Wordstat по России с учетом устройств и регионов. Приоритет — качественная оценка по интенту, продуктовой близости и составу выдачи.</x:v>
      </x:c>
      <x:c r="D10" s="73" t="n">
        <x:v>46247</x:v>
      </x:c>
    </x:row>
  </x:sheetData>
  <x:pageMargins left="0.7" right="0.7" top="0.75" bottom="0.75" header="0.3" footer="0.3"/>
  <x:tableParts count="1">
    <x:tablePart xmlns:r="http://schemas.openxmlformats.org/officeDocument/2006/relationships" r:id="Rcd0e66b522bd4ad8"/>
  </x:tableParts>
</x:worksheet>
</file>