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3b80540184c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лькулятор" sheetId="1" r:id="R0bf1f3db43be4baf"/>
    <x:sheet xmlns:r="http://schemas.openxmlformats.org/officeDocument/2006/relationships" name="Тарифы и KPI" sheetId="2" r:id="R65d73ac900a743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#,##0 &quot;₽&quot;;[Red](#,##0 &quot;₽&quot;);-"/>
    <x:numFmt numFmtId="202" formatCode="0.0%"/>
    <x:numFmt numFmtId="203" formatCode="0%"/>
    <x:numFmt numFmtId="204" formatCode="0.00 &quot;₽&quot;"/>
  </x:numFmts>
  <x:fonts count="14">
    <x:font>
      <x:sz val="11"/>
      <x:name val="Carlito"/>
    </x:font>
    <x:font>
      <x:b/>
      <x:sz val="15"/>
      <x:color rgb="FF172554"/>
      <x:name val="Arial"/>
    </x:font>
    <x:font>
      <x:i/>
      <x:sz val="10"/>
      <x:color rgb="FF64748B"/>
      <x:name val="Arial"/>
    </x:font>
    <x:font>
      <x:b/>
      <x:sz val="10"/>
      <x:color rgb="FF172554"/>
      <x:name val="Arial"/>
    </x:font>
    <x:font>
      <x:b/>
      <x:sz val="11"/>
      <x:color rgb="FF172554"/>
      <x:name val="Arial"/>
    </x:font>
    <x:font>
      <x:sz val="10"/>
      <x:color rgb="FF111827"/>
      <x:name val="Arial"/>
    </x:font>
    <x:font>
      <x:sz val="10"/>
      <x:color rgb="FF1D4ED8"/>
      <x:name val="Arial"/>
    </x:font>
    <x:font>
      <x:sz val="10"/>
      <x:color rgb="FF107C41"/>
      <x:name val="Arial"/>
    </x:font>
    <x:font>
      <x:b/>
      <x:sz val="9"/>
      <x:color rgb="FF172554"/>
      <x:name val="Arial"/>
    </x:font>
    <x:font>
      <x:b/>
      <x:sz val="10"/>
      <x:color rgb="FFFFFFFF"/>
      <x:name val="Arial"/>
    </x:font>
    <x:font>
      <x:i/>
      <x:sz val="9"/>
      <x:color rgb="FF64748B"/>
      <x:name val="Arial"/>
    </x:font>
    <x:font>
      <x:sz val="10"/>
      <x:color rgb="FF64748B"/>
      <x:name val="Arial"/>
    </x:font>
    <x:font>
      <x:b/>
      <x:sz val="10"/>
      <x:color rgb="FF111827"/>
      <x:name val="Arial"/>
    </x:font>
    <x:font>
      <x:i/>
      <x:sz val="10"/>
      <x:color rgb="FF11182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BEAFE"/>
      </x:patternFill>
    </x:fill>
    <x:fill>
      <x:patternFill patternType="solid">
        <x:fgColor rgb="FFF1F5F9"/>
      </x:patternFill>
    </x:fill>
    <x:fill>
      <x:patternFill patternType="solid">
        <x:fgColor rgb="FFFFF2CC"/>
      </x:patternFill>
    </x:fill>
    <x:fill>
      <x:patternFill patternType="solid">
        <x:fgColor rgb="FF172554"/>
      </x:patternFill>
    </x:fill>
  </x:fills>
  <x:borders count="31">
    <x:border/>
    <x:border>
      <x:bottom style="medium">
        <x:color rgb="FF172554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right style="thin">
        <x:color rgb="FFFFFFFF"/>
      </x:right>
      <x:bottom style="medium">
        <x:color rgb="FF172554"/>
      </x:bottom>
    </x:border>
    <x:border>
      <x:left style="thin">
        <x:color rgb="FFFFFFFF"/>
      </x:left>
      <x:right style="thin">
        <x:color rgb="FFFFFFFF"/>
      </x:right>
      <x:bottom style="medium">
        <x:color rgb="FF172554"/>
      </x:bottom>
    </x:border>
    <x:border>
      <x:left style="thin">
        <x:color rgb="FFFFFFFF"/>
      </x:left>
      <x:bottom style="medium">
        <x:color rgb="FF172554"/>
      </x:bottom>
    </x:border>
    <x:border>
      <x:bottom style="thin">
        <x:color rgb="FFCBD5E1"/>
      </x:bottom>
    </x:border>
    <x:border>
      <x:left style="thin">
        <x:color rgb="FFD6B656"/>
      </x:left>
      <x:top style="thin">
        <x:color rgb="FFD6B656"/>
      </x:top>
      <x:bottom style="thin">
        <x:color rgb="FFCBD5E1"/>
      </x:bottom>
    </x:border>
    <x:border>
      <x:right style="thin">
        <x:color rgb="FFD6B656"/>
      </x:right>
      <x:top style="thin">
        <x:color rgb="FFD6B656"/>
      </x:top>
      <x:bottom style="thin">
        <x:color rgb="FFCBD5E1"/>
      </x:bottom>
    </x:border>
    <x:border>
      <x:left style="thin">
        <x:color rgb="FFD6B656"/>
      </x:left>
      <x:top style="thin">
        <x:color rgb="FFCBD5E1"/>
      </x:top>
      <x:bottom style="thin">
        <x:color rgb="FFCBD5E1"/>
      </x:bottom>
    </x:border>
    <x:border>
      <x:right style="thin">
        <x:color rgb="FFD6B656"/>
      </x:right>
      <x:top style="thin">
        <x:color rgb="FFCBD5E1"/>
      </x:top>
      <x:bottom style="thin">
        <x:color rgb="FFCBD5E1"/>
      </x:bottom>
    </x:border>
    <x:border>
      <x:left style="thin">
        <x:color rgb="FFD6B656"/>
      </x:left>
      <x:top style="thin">
        <x:color rgb="FFCBD5E1"/>
      </x:top>
      <x:bottom style="thin">
        <x:color rgb="FFD6B656"/>
      </x:bottom>
    </x:border>
    <x:border>
      <x:right style="thin">
        <x:color rgb="FFD6B656"/>
      </x:right>
      <x:top style="thin">
        <x:color rgb="FFCBD5E1"/>
      </x:top>
      <x:bottom style="thin">
        <x:color rgb="FFD6B656"/>
      </x:bottom>
    </x:border>
    <x:border>
      <x:top style="medium">
        <x:color rgb="FF172554"/>
      </x:top>
      <x:bottom style="double">
        <x:color rgb="FF172554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top style="thin">
        <x:color rgb="FFD6B656"/>
      </x:top>
      <x:bottom style="thin">
        <x:color rgb="FFCBD5E1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</x:border>
    <x:border>
      <x:left style="thin">
        <x:color rgb="FFD6B656"/>
      </x:left>
      <x:right style="thin">
        <x:color rgb="FFD6B656"/>
      </x:right>
    </x:border>
    <x:border>
      <x:left style="thin">
        <x:color rgb="FFD6B656"/>
      </x:left>
      <x:right style="thin">
        <x:color rgb="FFD6B656"/>
      </x:right>
      <x:bottom style="thin">
        <x:color rgb="FFD6B656"/>
      </x:bottom>
    </x:border>
    <x:border>
      <x:left style="thin">
        <x:color rgb="FFD6B656"/>
      </x:left>
      <x:bottom style="thin">
        <x:color rgb="FFCBD5E1"/>
      </x:bottom>
    </x:border>
  </x:borders>
  <x:cellStyleXfs count="1">
    <x:xf numFmtId="0" fontId="0" fillId="0" borderId="0"/>
  </x:cellStyleXfs>
  <x:cellXfs count="16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200" fontId="4" fillId="3" borderId="2" xfId="0" applyNumberFormat="1" applyFont="1" applyFill="1" applyBorder="1"/>
    <x:xf numFmtId="201" fontId="4" fillId="3" borderId="2" xfId="0" applyNumberFormat="1" applyFont="1" applyFill="1" applyBorder="1"/>
    <x:xf numFmtId="201" fontId="3" fillId="2" borderId="2" xfId="0" applyNumberFormat="1" applyFont="1" applyFill="1" applyBorder="1" applyAlignment="1">
      <x:alignment wrapText="1"/>
    </x:xf>
    <x:xf numFmtId="202" fontId="4" fillId="3" borderId="2" xfId="0" applyNumberFormat="1" applyFont="1" applyFill="1" applyBorder="1"/>
    <x:xf numFmtId="203" fontId="4" fillId="3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 applyAlignment="1">
      <x:alignment vertical="center"/>
    </x:xf>
    <x:xf numFmtId="202" fontId="6" fillId="4" borderId="6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0" fontId="6" fillId="4" borderId="6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2" fontId="6" fillId="4" borderId="6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0" fontId="6" fillId="4" borderId="6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9" fillId="5" borderId="7" xfId="0" applyNumberFormat="1" applyFont="1" applyFill="1" applyBorder="1" applyAlignment="1">
      <x:alignment horizontal="center" vertical="center" wrapText="1"/>
    </x:xf>
    <x:xf numFmtId="0" fontId="9" fillId="5" borderId="8" xfId="0" applyNumberFormat="1" applyFont="1" applyFill="1" applyBorder="1" applyAlignment="1">
      <x:alignment horizontal="center" vertical="center" wrapText="1"/>
    </x:xf>
    <x:xf numFmtId="0" fontId="9" fillId="5" borderId="9" xfId="0" applyNumberFormat="1" applyFont="1" applyFill="1" applyBorder="1" applyAlignment="1">
      <x:alignment horizontal="center" vertical="center" wrapText="1"/>
    </x:xf>
    <x:xf numFmtId="0" fontId="5" fillId="0" borderId="10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4" borderId="10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0" fontId="6" fillId="4" borderId="11" xfId="0" applyNumberFormat="1" applyFont="1" applyFill="1" applyBorder="1" applyAlignment="1">
      <x:alignment vertical="center"/>
    </x:xf>
    <x:xf numFmtId="0" fontId="6" fillId="4" borderId="12" xfId="0" applyNumberFormat="1" applyFont="1" applyFill="1" applyBorder="1" applyAlignment="1">
      <x:alignment vertical="center"/>
    </x:xf>
    <x:xf numFmtId="0" fontId="6" fillId="4" borderId="13" xfId="0" applyNumberFormat="1" applyFont="1" applyFill="1" applyBorder="1" applyAlignment="1">
      <x:alignment vertical="center"/>
    </x:xf>
    <x:xf numFmtId="0" fontId="6" fillId="4" borderId="14" xfId="0" applyNumberFormat="1" applyFont="1" applyFill="1" applyBorder="1" applyAlignment="1">
      <x:alignment vertical="center"/>
    </x:xf>
    <x:xf numFmtId="0" fontId="6" fillId="4" borderId="15" xfId="0" applyNumberFormat="1" applyFont="1" applyFill="1" applyBorder="1" applyAlignment="1">
      <x:alignment vertical="center"/>
    </x:xf>
    <x:xf numFmtId="0" fontId="6" fillId="4" borderId="16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201" fontId="7" fillId="0" borderId="10" xfId="0" applyNumberFormat="1" applyFont="1" applyFill="1" applyBorder="1" applyAlignment="1">
      <x:alignment vertical="center"/>
    </x:xf>
    <x:xf numFmtId="201" fontId="7" fillId="0" borderId="4" xfId="0" applyNumberFormat="1" applyFont="1" applyFill="1" applyBorder="1" applyAlignment="1">
      <x:alignment vertical="center"/>
    </x:xf>
    <x:xf numFmtId="200" fontId="6" fillId="4" borderId="11" xfId="0" applyNumberFormat="1" applyFont="1" applyFill="1" applyBorder="1" applyAlignment="1">
      <x:alignment vertical="center"/>
    </x:xf>
    <x:xf numFmtId="200" fontId="6" fillId="4" borderId="13" xfId="0" applyNumberFormat="1" applyFont="1" applyFill="1" applyBorder="1" applyAlignment="1">
      <x:alignment vertical="center"/>
    </x:xf>
    <x:xf numFmtId="200" fontId="6" fillId="4" borderId="15" xfId="0" applyNumberFormat="1" applyFont="1" applyFill="1" applyBorder="1" applyAlignment="1">
      <x:alignment vertical="center"/>
    </x:xf>
    <x:xf numFmtId="201" fontId="6" fillId="4" borderId="12" xfId="0" applyNumberFormat="1" applyFont="1" applyFill="1" applyBorder="1" applyAlignment="1">
      <x:alignment vertical="center"/>
    </x:xf>
    <x:xf numFmtId="201" fontId="6" fillId="4" borderId="14" xfId="0" applyNumberFormat="1" applyFont="1" applyFill="1" applyBorder="1" applyAlignment="1">
      <x:alignment vertical="center"/>
    </x:xf>
    <x:xf numFmtId="201" fontId="6" fillId="4" borderId="16" xfId="0" applyNumberFormat="1" applyFont="1" applyFill="1" applyBorder="1" applyAlignment="1">
      <x:alignment vertical="center"/>
    </x:xf>
    <x:xf numFmtId="204" fontId="7" fillId="0" borderId="10" xfId="0" applyNumberFormat="1" applyFont="1" applyFill="1" applyBorder="1" applyAlignment="1">
      <x:alignment vertical="center"/>
    </x:xf>
    <x:xf numFmtId="204" fontId="7" fillId="0" borderId="4" xfId="0" applyNumberFormat="1" applyFont="1" applyFill="1" applyBorder="1" applyAlignment="1">
      <x:alignment vertical="center"/>
    </x:xf>
    <x:xf numFmtId="202" fontId="7" fillId="0" borderId="10" xfId="0" applyNumberFormat="1" applyFont="1" applyFill="1" applyBorder="1" applyAlignment="1">
      <x:alignment vertical="center"/>
    </x:xf>
    <x:xf numFmtId="202" fontId="7" fillId="0" borderId="4" xfId="0" applyNumberFormat="1" applyFont="1" applyFill="1" applyBorder="1" applyAlignment="1">
      <x:alignment vertical="center"/>
    </x:xf>
    <x:xf numFmtId="201" fontId="5" fillId="0" borderId="10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0" fontId="5" fillId="0" borderId="10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2" fontId="5" fillId="0" borderId="10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7" xfId="0" applyNumberFormat="1" applyFont="1" applyFill="1" applyBorder="1" applyAlignment="1">
      <x:alignment vertical="center"/>
    </x:xf>
    <x:xf numFmtId="200" fontId="3" fillId="2" borderId="17" xfId="0" applyNumberFormat="1" applyFont="1" applyFill="1" applyBorder="1" applyAlignment="1">
      <x:alignment vertical="center"/>
    </x:xf>
    <x:xf numFmtId="201" fontId="3" fillId="2" borderId="17" xfId="0" applyNumberFormat="1" applyFont="1" applyFill="1" applyBorder="1" applyAlignment="1">
      <x:alignment vertical="center"/>
    </x:xf>
    <x:xf numFmtId="204" fontId="3" fillId="2" borderId="17" xfId="0" applyNumberFormat="1" applyFont="1" applyFill="1" applyBorder="1" applyAlignment="1">
      <x:alignment vertical="center"/>
    </x:xf>
    <x:xf numFmtId="202" fontId="3" fillId="2" borderId="17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6" fillId="4" borderId="18" xfId="0" applyNumberFormat="1" applyFont="1" applyFill="1" applyBorder="1" applyAlignment="1">
      <x:alignment vertical="center"/>
    </x:xf>
    <x:xf numFmtId="0" fontId="6" fillId="4" borderId="19" xfId="0" applyNumberFormat="1" applyFont="1" applyFill="1" applyBorder="1" applyAlignment="1">
      <x:alignment vertical="center"/>
    </x:xf>
    <x:xf numFmtId="0" fontId="6" fillId="4" borderId="20" xfId="0" applyNumberFormat="1" applyFont="1" applyFill="1" applyBorder="1" applyAlignment="1">
      <x:alignment vertical="center"/>
    </x:xf>
    <x:xf numFmtId="0" fontId="6" fillId="4" borderId="21" xfId="0" applyNumberFormat="1" applyFont="1" applyFill="1" applyBorder="1" applyAlignment="1">
      <x:alignment vertical="center"/>
    </x:xf>
    <x:xf numFmtId="0" fontId="6" fillId="4" borderId="22" xfId="0" applyNumberFormat="1" applyFont="1" applyFill="1" applyBorder="1" applyAlignment="1">
      <x:alignment vertical="center"/>
    </x:xf>
    <x:xf numFmtId="0" fontId="6" fillId="4" borderId="23" xfId="0" applyNumberFormat="1" applyFont="1" applyFill="1" applyBorder="1" applyAlignment="1">
      <x:alignment vertical="center"/>
    </x:xf>
    <x:xf numFmtId="0" fontId="6" fillId="4" borderId="24" xfId="0" applyNumberFormat="1" applyFont="1" applyFill="1" applyBorder="1" applyAlignment="1">
      <x:alignment vertical="center"/>
    </x:xf>
    <x:xf numFmtId="0" fontId="6" fillId="4" borderId="25" xfId="0" applyNumberFormat="1" applyFont="1" applyFill="1" applyBorder="1" applyAlignment="1">
      <x:alignment vertical="center"/>
    </x:xf>
    <x:xf numFmtId="0" fontId="6" fillId="4" borderId="26" xfId="0" applyNumberFormat="1" applyFont="1" applyFill="1" applyBorder="1" applyAlignment="1">
      <x:alignment vertical="center"/>
    </x:xf>
    <x:xf numFmtId="201" fontId="6" fillId="4" borderId="11" xfId="0" applyNumberFormat="1" applyFont="1" applyFill="1" applyBorder="1" applyAlignment="1">
      <x:alignment vertical="center"/>
    </x:xf>
    <x:xf numFmtId="201" fontId="6" fillId="4" borderId="13" xfId="0" applyNumberFormat="1" applyFont="1" applyFill="1" applyBorder="1" applyAlignment="1">
      <x:alignment vertical="center"/>
    </x:xf>
    <x:xf numFmtId="204" fontId="6" fillId="4" borderId="26" xfId="0" applyNumberFormat="1" applyFont="1" applyFill="1" applyBorder="1" applyAlignment="1">
      <x:alignment vertical="center"/>
    </x:xf>
    <x:xf numFmtId="204" fontId="6" fillId="4" borderId="4" xfId="0" applyNumberFormat="1" applyFont="1" applyFill="1" applyBorder="1" applyAlignment="1">
      <x:alignment vertical="center"/>
    </x:xf>
    <x:xf numFmtId="202" fontId="6" fillId="4" borderId="12" xfId="0" applyNumberFormat="1" applyFont="1" applyFill="1" applyBorder="1" applyAlignment="1">
      <x:alignment vertical="center"/>
    </x:xf>
    <x:xf numFmtId="202" fontId="6" fillId="4" borderId="14" xfId="0" applyNumberFormat="1" applyFont="1" applyFill="1" applyBorder="1" applyAlignment="1">
      <x:alignment vertical="center"/>
    </x:xf>
    <x:xf numFmtId="0" fontId="6" fillId="4" borderId="27" xfId="0" applyNumberFormat="1" applyFont="1" applyFill="1" applyBorder="1" applyAlignment="1">
      <x:alignment vertical="center"/>
    </x:xf>
    <x:xf numFmtId="0" fontId="6" fillId="4" borderId="28" xfId="0" applyNumberFormat="1" applyFont="1" applyFill="1" applyBorder="1" applyAlignment="1">
      <x:alignment vertical="center"/>
    </x:xf>
    <x:xf numFmtId="0" fontId="6" fillId="4" borderId="29" xfId="0" applyNumberFormat="1" applyFont="1" applyFill="1" applyBorder="1" applyAlignment="1">
      <x:alignment vertical="center"/>
    </x:xf>
    <x:xf numFmtId="0" fontId="6" fillId="4" borderId="30" xfId="0" applyNumberFormat="1" applyFont="1" applyFill="1" applyBorder="1" applyAlignment="1">
      <x:alignment vertical="center"/>
    </x:xf>
    <x:xf numFmtId="200" fontId="6" fillId="4" borderId="30" xfId="0" applyNumberFormat="1" applyFont="1" applyFill="1" applyBorder="1" applyAlignment="1">
      <x:alignment vertical="center"/>
    </x:xf>
    <x:xf numFmtId="202" fontId="6" fillId="4" borderId="13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202" fontId="3" fillId="3" borderId="4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2" fillId="0" borderId="1" xfId="0" applyNumberFormat="1" applyFont="1" applyFill="1" applyBorder="1"/>
    <x:xf numFmtId="0" fontId="13" fillId="0" borderId="0" xfId="0" applyNumberFormat="1" applyFont="1" applyFill="1" applyBorder="1"/>
    <x:xf numFmtId="0" fontId="12" fillId="2" borderId="2" xfId="0" applyNumberFormat="1" applyFont="1" applyFill="1" applyBorder="1" applyAlignment="1">
      <x:alignment wrapText="1"/>
    </x:xf>
    <x:xf numFmtId="200" fontId="12" fillId="3" borderId="2" xfId="0" applyNumberFormat="1" applyFont="1" applyFill="1" applyBorder="1"/>
    <x:xf numFmtId="201" fontId="12" fillId="3" borderId="2" xfId="0" applyNumberFormat="1" applyFont="1" applyFill="1" applyBorder="1"/>
    <x:xf numFmtId="201" fontId="12" fillId="2" borderId="2" xfId="0" applyNumberFormat="1" applyFont="1" applyFill="1" applyBorder="1" applyAlignment="1">
      <x:alignment wrapText="1"/>
    </x:xf>
    <x:xf numFmtId="202" fontId="12" fillId="3" borderId="2" xfId="0" applyNumberFormat="1" applyFont="1" applyFill="1" applyBorder="1"/>
    <x:xf numFmtId="203" fontId="12" fillId="3" borderId="2" xfId="0" applyNumberFormat="1" applyFont="1" applyFill="1" applyBorder="1"/>
    <x:xf numFmtId="0" fontId="12" fillId="2" borderId="3" xfId="0" applyNumberFormat="1" applyFont="1" applyFill="1" applyBorder="1"/>
    <x:xf numFmtId="0" fontId="12" fillId="2" borderId="4" xfId="0" applyNumberFormat="1" applyFont="1" applyFill="1" applyBorder="1"/>
    <x:xf numFmtId="0" fontId="12" fillId="2" borderId="5" xfId="0" applyNumberFormat="1" applyFont="1" applyFill="1" applyBorder="1"/>
    <x:xf numFmtId="202" fontId="5" fillId="4" borderId="6" xfId="0" applyNumberFormat="1" applyFont="1" applyFill="1" applyBorder="1" applyAlignment="1">
      <x:alignment vertical="center" wrapText="1"/>
    </x:xf>
    <x:xf numFmtId="200" fontId="5" fillId="4" borderId="6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5" borderId="7" xfId="0" applyNumberFormat="1" applyFont="1" applyFill="1" applyBorder="1" applyAlignment="1">
      <x:alignment horizontal="center" vertical="center" wrapText="1"/>
    </x:xf>
    <x:xf numFmtId="0" fontId="12" fillId="5" borderId="8" xfId="0" applyNumberFormat="1" applyFont="1" applyFill="1" applyBorder="1" applyAlignment="1">
      <x:alignment horizontal="center" vertical="center" wrapText="1"/>
    </x:xf>
    <x:xf numFmtId="0" fontId="12" fillId="5" borderId="9" xfId="0" applyNumberFormat="1" applyFont="1" applyFill="1" applyBorder="1" applyAlignment="1">
      <x:alignment horizontal="center" vertical="center" wrapText="1"/>
    </x:xf>
    <x:xf numFmtId="200" fontId="5" fillId="4" borderId="11" xfId="0" applyNumberFormat="1" applyFont="1" applyFill="1" applyBorder="1" applyAlignment="1">
      <x:alignment vertical="center"/>
    </x:xf>
    <x:xf numFmtId="201" fontId="5" fillId="4" borderId="12" xfId="0" applyNumberFormat="1" applyFont="1" applyFill="1" applyBorder="1" applyAlignment="1">
      <x:alignment vertical="center"/>
    </x:xf>
    <x:xf numFmtId="204" fontId="5" fillId="0" borderId="10" xfId="0" applyNumberFormat="1" applyFont="1" applyFill="1" applyBorder="1" applyAlignment="1">
      <x:alignment vertical="center"/>
    </x:xf>
    <x:xf numFmtId="200" fontId="5" fillId="4" borderId="13" xfId="0" applyNumberFormat="1" applyFont="1" applyFill="1" applyBorder="1" applyAlignment="1">
      <x:alignment vertical="center"/>
    </x:xf>
    <x:xf numFmtId="201" fontId="5" fillId="4" borderId="14" xfId="0" applyNumberFormat="1" applyFont="1" applyFill="1" applyBorder="1" applyAlignment="1">
      <x:alignment vertical="center"/>
    </x:xf>
    <x:xf numFmtId="204" fontId="5" fillId="0" borderId="4" xfId="0" applyNumberFormat="1" applyFont="1" applyFill="1" applyBorder="1" applyAlignment="1">
      <x:alignment vertical="center"/>
    </x:xf>
    <x:xf numFmtId="200" fontId="5" fillId="4" borderId="15" xfId="0" applyNumberFormat="1" applyFont="1" applyFill="1" applyBorder="1" applyAlignment="1">
      <x:alignment vertical="center"/>
    </x:xf>
    <x:xf numFmtId="201" fontId="5" fillId="4" borderId="16" xfId="0" applyNumberFormat="1" applyFont="1" applyFill="1" applyBorder="1" applyAlignment="1">
      <x:alignment vertical="center"/>
    </x:xf>
    <x:xf numFmtId="0" fontId="12" fillId="2" borderId="17" xfId="0" applyNumberFormat="1" applyFont="1" applyFill="1" applyBorder="1" applyAlignment="1">
      <x:alignment vertical="center"/>
    </x:xf>
    <x:xf numFmtId="200" fontId="12" fillId="2" borderId="17" xfId="0" applyNumberFormat="1" applyFont="1" applyFill="1" applyBorder="1" applyAlignment="1">
      <x:alignment vertical="center"/>
    </x:xf>
    <x:xf numFmtId="201" fontId="12" fillId="2" borderId="17" xfId="0" applyNumberFormat="1" applyFont="1" applyFill="1" applyBorder="1" applyAlignment="1">
      <x:alignment vertical="center"/>
    </x:xf>
    <x:xf numFmtId="204" fontId="12" fillId="2" borderId="17" xfId="0" applyNumberFormat="1" applyFont="1" applyFill="1" applyBorder="1" applyAlignment="1">
      <x:alignment vertical="center"/>
    </x:xf>
    <x:xf numFmtId="202" fontId="12" fillId="2" borderId="17" xfId="0" applyNumberFormat="1" applyFont="1" applyFill="1" applyBorder="1" applyAlignment="1">
      <x:alignment vertical="center"/>
    </x:xf>
    <x:xf numFmtId="0" fontId="12" fillId="0" borderId="1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2" fillId="2" borderId="2" xfId="0" applyNumberFormat="1" applyFont="1" applyFill="1" applyBorder="1" applyAlignment="1">
      <x:alignment vertical="center" wrapText="1"/>
    </x:xf>
    <x:xf numFmtId="200" fontId="12" fillId="3" borderId="2" xfId="0" applyNumberFormat="1" applyFont="1" applyFill="1" applyBorder="1" applyAlignment="1">
      <x:alignment vertical="center"/>
    </x:xf>
    <x:xf numFmtId="201" fontId="12" fillId="3" borderId="2" xfId="0" applyNumberFormat="1" applyFont="1" applyFill="1" applyBorder="1" applyAlignment="1">
      <x:alignment vertical="center"/>
    </x:xf>
    <x:xf numFmtId="201" fontId="12" fillId="2" borderId="2" xfId="0" applyNumberFormat="1" applyFont="1" applyFill="1" applyBorder="1" applyAlignment="1">
      <x:alignment vertical="center" wrapText="1"/>
    </x:xf>
    <x:xf numFmtId="202" fontId="12" fillId="3" borderId="2" xfId="0" applyNumberFormat="1" applyFont="1" applyFill="1" applyBorder="1" applyAlignment="1">
      <x:alignment vertical="center"/>
    </x:xf>
    <x:xf numFmtId="203" fontId="12" fillId="3" borderId="2" xfId="0" applyNumberFormat="1" applyFont="1" applyFill="1" applyBorder="1" applyAlignment="1">
      <x:alignment vertical="center"/>
    </x:xf>
    <x:xf numFmtId="0" fontId="12" fillId="2" borderId="3" xfId="0" applyNumberFormat="1" applyFont="1" applyFill="1" applyBorder="1" applyAlignment="1">
      <x:alignment vertical="center"/>
    </x:xf>
    <x:xf numFmtId="0" fontId="12" fillId="2" borderId="4" xfId="0" applyNumberFormat="1" applyFont="1" applyFill="1" applyBorder="1" applyAlignment="1">
      <x:alignment vertical="center"/>
    </x:xf>
    <x:xf numFmtId="0" fontId="12" fillId="2" borderId="5" xfId="0" applyNumberFormat="1" applyFont="1" applyFill="1" applyBorder="1" applyAlignment="1">
      <x:alignment vertical="center"/>
    </x:xf>
    <x:xf numFmtId="201" fontId="5" fillId="4" borderId="11" xfId="0" applyNumberFormat="1" applyFont="1" applyFill="1" applyBorder="1" applyAlignment="1">
      <x:alignment vertical="center"/>
    </x:xf>
    <x:xf numFmtId="204" fontId="5" fillId="4" borderId="26" xfId="0" applyNumberFormat="1" applyFont="1" applyFill="1" applyBorder="1" applyAlignment="1">
      <x:alignment vertical="center"/>
    </x:xf>
    <x:xf numFmtId="202" fontId="5" fillId="4" borderId="12" xfId="0" applyNumberFormat="1" applyFont="1" applyFill="1" applyBorder="1" applyAlignment="1">
      <x:alignment vertical="center"/>
    </x:xf>
    <x:xf numFmtId="200" fontId="5" fillId="4" borderId="30" xfId="0" applyNumberFormat="1" applyFont="1" applyFill="1" applyBorder="1" applyAlignment="1">
      <x:alignment vertical="center"/>
    </x:xf>
    <x:xf numFmtId="201" fontId="5" fillId="4" borderId="13" xfId="0" applyNumberFormat="1" applyFont="1" applyFill="1" applyBorder="1" applyAlignment="1">
      <x:alignment vertical="center"/>
    </x:xf>
    <x:xf numFmtId="204" fontId="5" fillId="4" borderId="4" xfId="0" applyNumberFormat="1" applyFont="1" applyFill="1" applyBorder="1" applyAlignment="1">
      <x:alignment vertical="center"/>
    </x:xf>
    <x:xf numFmtId="202" fontId="5" fillId="4" borderId="14" xfId="0" applyNumberFormat="1" applyFont="1" applyFill="1" applyBorder="1" applyAlignment="1">
      <x:alignment vertical="center"/>
    </x:xf>
    <x:xf numFmtId="202" fontId="5" fillId="4" borderId="13" xfId="0" applyNumberFormat="1" applyFont="1" applyFill="1" applyBorder="1" applyAlignment="1">
      <x:alignment vertical="center"/>
    </x:xf>
    <x:xf numFmtId="202" fontId="12" fillId="3" borderId="4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fd9c3a4cc4c42" /><Relationship Type="http://schemas.openxmlformats.org/officeDocument/2006/relationships/theme" Target="/xl/theme/theme1.xml" Id="R50e1e09d5ebe4084" /><Relationship Type="http://schemas.openxmlformats.org/officeDocument/2006/relationships/sharedStrings" Target="/xl/sharedStrings.xml" Id="R022b1b52cd3b4e5b" /><Relationship Type="http://schemas.openxmlformats.org/officeDocument/2006/relationships/worksheet" Target="/xl/worksheets/sheet1.xml" Id="R0bf1f3db43be4baf" /><Relationship Type="http://schemas.openxmlformats.org/officeDocument/2006/relationships/worksheet" Target="/xl/worksheets/sheet2.xml" Id="R65d73ac900a743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2554"/>
  </x:sheetPr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7" hidden="0" customWidth="1"/>
    <x:col min="4" max="4" width="13" hidden="0" customWidth="1"/>
    <x:col min="5" max="5" width="19" hidden="0" customWidth="1"/>
    <x:col min="6" max="6" width="15" hidden="0" customWidth="1"/>
    <x:col min="7" max="7" width="15" hidden="0" customWidth="1"/>
    <x:col min="8" max="8" width="14" hidden="0" customWidth="1"/>
    <x:col min="9" max="9" width="18" hidden="0" customWidth="1"/>
    <x:col min="10" max="10" width="14" hidden="0" customWidth="1"/>
    <x:col min="11" max="11" width="15" hidden="0" customWidth="1"/>
    <x:col min="12" max="12" width="15" hidden="0" customWidth="1"/>
    <x:col min="13" max="13" width="17" hidden="0" customWidth="1"/>
    <x:col min="14" max="14" width="15" hidden="0" customWidth="1"/>
  </x:cols>
  <x:sheetData>
    <x:row r="1">
      <x:c r="A1" s="20"/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 ht="28" customHeight="1">
      <x:c r="A2" s="163" t="str">
        <x:v>Калькулятор экономики и KPI менеджера</x:v>
      </x:c>
      <x:c r="B2" s="163"/>
      <x:c r="C2" s="163"/>
      <x:c r="D2" s="163"/>
      <x:c r="E2" s="163"/>
      <x:c r="F2" s="163"/>
      <x:c r="G2" s="163"/>
      <x:c r="H2" s="163"/>
      <x:c r="I2" s="163"/>
      <x:c r="J2" s="163"/>
      <x:c r="K2" s="163"/>
      <x:c r="L2" s="163"/>
      <x:c r="M2" s="163"/>
      <x:c r="N2" s="163"/>
    </x:row>
    <x:row r="3">
      <x:c r="A3" s="144" t="str">
        <x:v>Изменяйте жёлтые ячейки. Итоги рассчитываются за один месяц.</x:v>
      </x:c>
      <x:c r="B3" s="144"/>
      <x:c r="C3" s="144"/>
      <x:c r="D3" s="144"/>
      <x:c r="E3" s="144"/>
      <x:c r="F3" s="144"/>
      <x:c r="G3" s="144"/>
      <x:c r="H3" s="144"/>
      <x:c r="I3" s="144"/>
      <x:c r="J3" s="144"/>
      <x:c r="K3" s="144"/>
      <x:c r="L3" s="144"/>
      <x:c r="M3" s="144"/>
      <x:c r="N3" s="144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</x:row>
    <x:row r="5" ht="38" customHeight="1">
      <x:c r="A5" s="145" t="str">
        <x:v>Клиенты</x:v>
      </x:c>
      <x:c r="B5" s="146" t="n">
        <x:f>SUM(B16:B21)</x:f>
        <x:v>8</x:v>
      </x:c>
      <x:c r="C5" s="145" t="str">
        <x:v>Оборот</x:v>
      </x:c>
      <x:c r="D5" s="147" t="n">
        <x:f>SUM(G16:G21)</x:f>
        <x:v>571000</x:v>
      </x:c>
      <x:c r="E5" s="148" t="str">
        <x:v>Средний чек</x:v>
      </x:c>
      <x:c r="F5" s="147" t="n">
        <x:f>IF(B5=0,0,D5/B5)</x:f>
        <x:v>71375</x:v>
      </x:c>
      <x:c r="G5" s="145" t="str">
        <x:v>Базовый KPI</x:v>
      </x:c>
      <x:c r="H5" s="147" t="n">
        <x:f>VLOOKUP(D5,'Тарифы и KPI'!$A$16:$B$24,2,TRUE)</x:f>
        <x:v>10000</x:v>
      </x:c>
      <x:c r="I5" s="148" t="str">
        <x:v>Выплачиваемый KPI</x:v>
      </x:c>
      <x:c r="J5" s="147" t="n">
        <x:f>H5*N7</x:f>
        <x:v>10000</x:v>
      </x:c>
      <x:c r="K5" s="148" t="str">
        <x:v>Доход менеджера</x:v>
      </x:c>
      <x:c r="L5" s="147" t="n">
        <x:f>L22+J5</x:f>
        <x:v>63150</x:v>
      </x:c>
      <x:c r="M5" s="145" t="str">
        <x:v>Прибыль компании</x:v>
      </x:c>
      <x:c r="N5" s="147" t="n">
        <x:f>M22-J5</x:f>
        <x:v>129941.66666666666</x:v>
      </x:c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</x:row>
    <x:row r="7" ht="38" customHeight="1">
      <x:c r="A7" s="145" t="str">
        <x:v>Маржа компании</x:v>
      </x:c>
      <x:c r="B7" s="149" t="n">
        <x:f>IF(D5=0,0,N5/D5)</x:f>
        <x:v>0.22756859311150027</x:v>
      </x:c>
      <x:c r="C7" s="145" t="str">
        <x:v>Клики</x:v>
      </x:c>
      <x:c r="D7" s="146" t="n">
        <x:f>SUM(H16:H21)</x:f>
        <x:v>2868666.666666667</x:v>
      </x:c>
      <x:c r="E7" s="145" t="str">
        <x:v>Себестоимость трафика</x:v>
      </x:c>
      <x:c r="F7" s="147" t="n">
        <x:f>SUM(I16:I21)</x:f>
        <x:v>363633.3333333334</x:v>
      </x:c>
      <x:c r="G7" s="148" t="str">
        <x:v>Эквайринг</x:v>
      </x:c>
      <x:c r="H7" s="147" t="n">
        <x:f>SUM(J16:J21)</x:f>
        <x:v>14275</x:v>
      </x:c>
      <x:c r="I7" s="148" t="str">
        <x:v>Возвраты</x:v>
      </x:c>
      <x:c r="J7" s="147" t="n">
        <x:f>SUM(K16:K21)</x:f>
        <x:v>0</x:v>
      </x:c>
      <x:c r="K7" s="148" t="str">
        <x:v>Комиссия менеджера</x:v>
      </x:c>
      <x:c r="L7" s="147" t="n">
        <x:f>SUM(L16:L21)</x:f>
        <x:v>53150</x:v>
      </x:c>
      <x:c r="M7" s="145" t="str">
        <x:v>Доля KPI</x:v>
      </x:c>
      <x:c r="N7" s="150" t="n">
        <x:f>'Тарифы и KPI'!$G$8+IF(F11&gt;='Тарифы и KPI'!$G$6,'Тарифы и KPI'!$G$9,0)+IF(H11&gt;='Тарифы и KPI'!$G$7,'Тарифы и KPI'!$G$10,0)</x:f>
        <x:v>1</x:v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</x:row>
    <x:row r="10">
      <x:c r="A10" s="151" t="str">
        <x:v>Месячные вводные</x:v>
      </x:c>
      <x:c r="B10" s="152"/>
      <x:c r="C10" s="152"/>
      <x:c r="D10" s="152"/>
      <x:c r="E10" s="152"/>
      <x:c r="F10" s="152"/>
      <x:c r="G10" s="152"/>
      <x:c r="H10" s="152"/>
      <x:c r="I10" s="152"/>
      <x:c r="J10" s="152"/>
      <x:c r="K10" s="152"/>
      <x:c r="L10" s="152"/>
      <x:c r="M10" s="152"/>
      <x:c r="N10" s="153"/>
    </x:row>
    <x:row r="11" ht="38" customHeight="1">
      <x:c r="A11" s="32" t="str">
        <x:v>Эквайринг</x:v>
      </x:c>
      <x:c r="B11" s="123" t="n">
        <x:v>0.025</x:v>
      </x:c>
      <x:c r="C11" s="34" t="str">
        <x:v>Возвраты</x:v>
      </x:c>
      <x:c r="D11" s="123" t="n">
        <x:v>0</x:v>
      </x:c>
      <x:c r="E11" s="32" t="str">
        <x:v>Новые клиенты</x:v>
      </x:c>
      <x:c r="F11" s="124" t="n">
        <x:v>3</x:v>
      </x:c>
      <x:c r="G11" s="32" t="str">
        <x:v>Удержание</x:v>
      </x:c>
      <x:c r="H11" s="123" t="n">
        <x:v>0.6</x:v>
      </x:c>
      <x:c r="I11" s="32" t="str">
        <x:v>Мин. новых</x:v>
      </x:c>
      <x:c r="J11" s="125" t="n">
        <x:f>'Тарифы и KPI'!$G$6</x:f>
        <x:v>3</x:v>
      </x:c>
      <x:c r="K11" s="32" t="str">
        <x:v>Порог удержания</x:v>
      </x:c>
      <x:c r="L11" s="34" t="n">
        <x:f>'Тарифы и KPI'!$G$7</x:f>
        <x:v>0.6</x:v>
      </x:c>
      <x:c r="M11" s="32" t="str">
        <x:v>Статус входов</x:v>
      </x:c>
      <x:c r="N11" s="126" t="str">
        <x:f>IF(OR(B11&lt;0,B11&gt;1,D11&lt;0,D11&gt;1,F11&lt;0,H11&lt;0,H11&gt;1,COUNTIFS(B16:B21,"&lt;0")&gt;0,COUNTIFS(C16:C21,"&lt;0")&gt;0),"Проверьте вводные","Вводные корректны")</x:f>
        <x:v>Вводные корректны</x:v>
      </x:c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</x:row>
    <x:row r="14">
      <x:c r="A14" s="151" t="str">
        <x:v>Расчёт по тарифам</x:v>
      </x:c>
      <x:c r="B14" s="152"/>
      <x:c r="C14" s="152"/>
      <x:c r="D14" s="152"/>
      <x:c r="E14" s="152"/>
      <x:c r="F14" s="152"/>
      <x:c r="G14" s="152"/>
      <x:c r="H14" s="152"/>
      <x:c r="I14" s="152"/>
      <x:c r="J14" s="152"/>
      <x:c r="K14" s="152"/>
      <x:c r="L14" s="152"/>
      <x:c r="M14" s="152"/>
      <x:c r="N14" s="153"/>
    </x:row>
    <x:row r="15" ht="34" customHeight="1">
      <x:c r="A15" s="45" t="str">
        <x:v>Тариф от</x:v>
      </x:c>
      <x:c r="B15" s="46" t="str">
        <x:v>Клиенты</x:v>
      </x:c>
      <x:c r="C15" s="46" t="str">
        <x:v>Средний платёж</x:v>
      </x:c>
      <x:c r="D15" s="46" t="str">
        <x:v>Цена клика</x:v>
      </x:c>
      <x:c r="E15" s="46" t="str">
        <x:v>Себестоимость клика</x:v>
      </x:c>
      <x:c r="F15" s="46" t="str">
        <x:v>Комиссия менеджера</x:v>
      </x:c>
      <x:c r="G15" s="46" t="str">
        <x:v>Оборот</x:v>
      </x:c>
      <x:c r="H15" s="46" t="str">
        <x:v>Клики</x:v>
      </x:c>
      <x:c r="I15" s="46" t="str">
        <x:v>Себестоимость трафика</x:v>
      </x:c>
      <x:c r="J15" s="46" t="str">
        <x:v>Эквайринг</x:v>
      </x:c>
      <x:c r="K15" s="46" t="str">
        <x:v>Возвраты</x:v>
      </x:c>
      <x:c r="L15" s="46" t="str">
        <x:v>Менеджеру</x:v>
      </x:c>
      <x:c r="M15" s="46" t="str">
        <x:v>Компания до KPI</x:v>
      </x:c>
      <x:c r="N15" s="47" t="str">
        <x:v>Маржа до KPI</x:v>
      </x:c>
    </x:row>
    <x:row r="16" ht="23" customHeight="1">
      <x:c r="A16" s="74" t="n">
        <x:f>'Тарифы и KPI'!A6</x:f>
        <x:v>1000</x:v>
      </x:c>
      <x:c r="B16" s="130" t="n">
        <x:v>1</x:v>
      </x:c>
      <x:c r="C16" s="131" t="n">
        <x:v>1000</x:v>
      </x:c>
      <x:c r="D16" s="132" t="n">
        <x:f>'Тарифы и KPI'!B6</x:f>
        <x:v>0.5</x:v>
      </x:c>
      <x:c r="E16" s="132" t="n">
        <x:f>'Тарифы и KPI'!C6</x:f>
        <x:v>0.15</x:v>
      </x:c>
      <x:c r="F16" s="78" t="n">
        <x:f>'Тарифы и KPI'!D6</x:f>
        <x:v>0.15</x:v>
      </x:c>
      <x:c r="G16" s="74" t="n">
        <x:f>B16*C16</x:f>
        <x:v>1000</x:v>
      </x:c>
      <x:c r="H16" s="76" t="n">
        <x:f>G16/D16</x:f>
        <x:v>2000</x:v>
      </x:c>
      <x:c r="I16" s="74" t="n">
        <x:f>H16*E16</x:f>
        <x:v>300</x:v>
      </x:c>
      <x:c r="J16" s="74" t="n">
        <x:f>G16*$B$11</x:f>
        <x:v>25</x:v>
      </x:c>
      <x:c r="K16" s="74" t="n">
        <x:f>G16*$D$11</x:f>
        <x:v>0</x:v>
      </x:c>
      <x:c r="L16" s="74" t="n">
        <x:f>(G16-K16)*F16</x:f>
        <x:v>150</x:v>
      </x:c>
      <x:c r="M16" s="74" t="n">
        <x:f>G16-I16-J16-K16-L16</x:f>
        <x:v>525</x:v>
      </x:c>
      <x:c r="N16" s="78" t="n">
        <x:f>IF(G16=0,0,M16/G16)</x:f>
        <x:v>0.525</x:v>
      </x:c>
    </x:row>
    <x:row r="17" ht="23" customHeight="1">
      <x:c r="A17" s="75" t="n">
        <x:f>'Тарифы и KPI'!A7</x:f>
        <x:v>10000</x:v>
      </x:c>
      <x:c r="B17" s="133" t="n">
        <x:v>2</x:v>
      </x:c>
      <x:c r="C17" s="134" t="n">
        <x:v>10000</x:v>
      </x:c>
      <x:c r="D17" s="135" t="n">
        <x:f>'Тарифы и KPI'!B7</x:f>
        <x:v>0.4</x:v>
      </x:c>
      <x:c r="E17" s="135" t="n">
        <x:f>'Тарифы и KPI'!C7</x:f>
        <x:v>0.15</x:v>
      </x:c>
      <x:c r="F17" s="79" t="n">
        <x:f>'Тарифы и KPI'!D7</x:f>
        <x:v>0.15</x:v>
      </x:c>
      <x:c r="G17" s="75" t="n">
        <x:f>B17*C17</x:f>
        <x:v>20000</x:v>
      </x:c>
      <x:c r="H17" s="77" t="n">
        <x:f>G17/D17</x:f>
        <x:v>50000</x:v>
      </x:c>
      <x:c r="I17" s="75" t="n">
        <x:f>H17*E17</x:f>
        <x:v>7500</x:v>
      </x:c>
      <x:c r="J17" s="75" t="n">
        <x:f>G17*$B$11</x:f>
        <x:v>500</x:v>
      </x:c>
      <x:c r="K17" s="75" t="n">
        <x:f>G17*$D$11</x:f>
        <x:v>0</x:v>
      </x:c>
      <x:c r="L17" s="75" t="n">
        <x:f>(G17-K17)*F17</x:f>
        <x:v>3000</x:v>
      </x:c>
      <x:c r="M17" s="75" t="n">
        <x:f>G17-I17-J17-K17-L17</x:f>
        <x:v>9000</x:v>
      </x:c>
      <x:c r="N17" s="79" t="n">
        <x:f>IF(G17=0,0,M17/G17)</x:f>
        <x:v>0.45</x:v>
      </x:c>
    </x:row>
    <x:row r="18" ht="23" customHeight="1">
      <x:c r="A18" s="75" t="n">
        <x:f>'Тарифы и KPI'!A8</x:f>
        <x:v>50000</x:v>
      </x:c>
      <x:c r="B18" s="133" t="n">
        <x:v>2</x:v>
      </x:c>
      <x:c r="C18" s="134" t="n">
        <x:v>50000</x:v>
      </x:c>
      <x:c r="D18" s="135" t="n">
        <x:f>'Тарифы и KPI'!B8</x:f>
        <x:v>0.3</x:v>
      </x:c>
      <x:c r="E18" s="135" t="n">
        <x:f>'Тарифы и KPI'!C8</x:f>
        <x:v>0.15</x:v>
      </x:c>
      <x:c r="F18" s="79" t="n">
        <x:f>'Тарифы и KPI'!D8</x:f>
        <x:v>0.12</x:v>
      </x:c>
      <x:c r="G18" s="75" t="n">
        <x:f>B18*C18</x:f>
        <x:v>100000</x:v>
      </x:c>
      <x:c r="H18" s="77" t="n">
        <x:f>G18/D18</x:f>
        <x:v>333333.3333333334</x:v>
      </x:c>
      <x:c r="I18" s="75" t="n">
        <x:f>H18*E18</x:f>
        <x:v>50000.00000000001</x:v>
      </x:c>
      <x:c r="J18" s="75" t="n">
        <x:f>G18*$B$11</x:f>
        <x:v>2500</x:v>
      </x:c>
      <x:c r="K18" s="75" t="n">
        <x:f>G18*$D$11</x:f>
        <x:v>0</x:v>
      </x:c>
      <x:c r="L18" s="75" t="n">
        <x:f>(G18-K18)*F18</x:f>
        <x:v>12000</x:v>
      </x:c>
      <x:c r="M18" s="75" t="n">
        <x:f>G18-I18-J18-K18-L18</x:f>
        <x:v>35499.99999999999</x:v>
      </x:c>
      <x:c r="N18" s="79" t="n">
        <x:f>IF(G18=0,0,M18/G18)</x:f>
        <x:v>0.3549999999999999</x:v>
      </x:c>
    </x:row>
    <x:row r="19" ht="23" customHeight="1">
      <x:c r="A19" s="75" t="n">
        <x:f>'Тарифы и KPI'!A9</x:f>
        <x:v>100000</x:v>
      </x:c>
      <x:c r="B19" s="133" t="n">
        <x:v>1</x:v>
      </x:c>
      <x:c r="C19" s="134" t="n">
        <x:v>100000</x:v>
      </x:c>
      <x:c r="D19" s="135" t="n">
        <x:f>'Тарифы и KPI'!B9</x:f>
        <x:v>0.25</x:v>
      </x:c>
      <x:c r="E19" s="135" t="n">
        <x:f>'Тарифы и KPI'!C9</x:f>
        <x:v>0.15</x:v>
      </x:c>
      <x:c r="F19" s="79" t="n">
        <x:f>'Тарифы и KPI'!D9</x:f>
        <x:v>0.1</x:v>
      </x:c>
      <x:c r="G19" s="75" t="n">
        <x:f>B19*C19</x:f>
        <x:v>100000</x:v>
      </x:c>
      <x:c r="H19" s="77" t="n">
        <x:f>G19/D19</x:f>
        <x:v>400000</x:v>
      </x:c>
      <x:c r="I19" s="75" t="n">
        <x:f>H19*E19</x:f>
        <x:v>60000</x:v>
      </x:c>
      <x:c r="J19" s="75" t="n">
        <x:f>G19*$B$11</x:f>
        <x:v>2500</x:v>
      </x:c>
      <x:c r="K19" s="75" t="n">
        <x:f>G19*$D$11</x:f>
        <x:v>0</x:v>
      </x:c>
      <x:c r="L19" s="75" t="n">
        <x:f>(G19-K19)*F19</x:f>
        <x:v>10000</x:v>
      </x:c>
      <x:c r="M19" s="75" t="n">
        <x:f>G19-I19-J19-K19-L19</x:f>
        <x:v>27500</x:v>
      </x:c>
      <x:c r="N19" s="79" t="n">
        <x:f>IF(G19=0,0,M19/G19)</x:f>
        <x:v>0.275</x:v>
      </x:c>
    </x:row>
    <x:row r="20" ht="23" customHeight="1">
      <x:c r="A20" s="75" t="n">
        <x:f>'Тарифы и KPI'!A10</x:f>
        <x:v>150000</x:v>
      </x:c>
      <x:c r="B20" s="133" t="n">
        <x:v>1</x:v>
      </x:c>
      <x:c r="C20" s="134" t="n">
        <x:v>150000</x:v>
      </x:c>
      <x:c r="D20" s="135" t="n">
        <x:f>'Тарифы и KPI'!B10</x:f>
        <x:v>0.2</x:v>
      </x:c>
      <x:c r="E20" s="135" t="n">
        <x:f>'Тарифы и KPI'!C10</x:f>
        <x:v>0.15</x:v>
      </x:c>
      <x:c r="F20" s="79" t="n">
        <x:f>'Тарифы и KPI'!D10</x:f>
        <x:v>0.08</x:v>
      </x:c>
      <x:c r="G20" s="75" t="n">
        <x:f>B20*C20</x:f>
        <x:v>150000</x:v>
      </x:c>
      <x:c r="H20" s="77" t="n">
        <x:f>G20/D20</x:f>
        <x:v>750000</x:v>
      </x:c>
      <x:c r="I20" s="75" t="n">
        <x:f>H20*E20</x:f>
        <x:v>112500</x:v>
      </x:c>
      <x:c r="J20" s="75" t="n">
        <x:f>G20*$B$11</x:f>
        <x:v>3750</x:v>
      </x:c>
      <x:c r="K20" s="75" t="n">
        <x:f>G20*$D$11</x:f>
        <x:v>0</x:v>
      </x:c>
      <x:c r="L20" s="75" t="n">
        <x:f>(G20-K20)*F20</x:f>
        <x:v>12000</x:v>
      </x:c>
      <x:c r="M20" s="75" t="n">
        <x:f>G20-I20-J20-K20-L20</x:f>
        <x:v>21750</x:v>
      </x:c>
      <x:c r="N20" s="79" t="n">
        <x:f>IF(G20=0,0,M20/G20)</x:f>
        <x:v>0.145</x:v>
      </x:c>
    </x:row>
    <x:row r="21" ht="23" customHeight="1">
      <x:c r="A21" s="75" t="n">
        <x:f>'Тарифы и KPI'!A11</x:f>
        <x:v>200000</x:v>
      </x:c>
      <x:c r="B21" s="136" t="n">
        <x:v>1</x:v>
      </x:c>
      <x:c r="C21" s="137" t="n">
        <x:v>200000</x:v>
      </x:c>
      <x:c r="D21" s="135" t="n">
        <x:f>'Тарифы и KPI'!B11</x:f>
        <x:v>0.15</x:v>
      </x:c>
      <x:c r="E21" s="135" t="n">
        <x:f>'Тарифы и KPI'!C11</x:f>
        <x:v>0.1</x:v>
      </x:c>
      <x:c r="F21" s="79" t="n">
        <x:f>'Тарифы и KPI'!D11</x:f>
        <x:v>0.08</x:v>
      </x:c>
      <x:c r="G21" s="75" t="n">
        <x:f>B21*C21</x:f>
        <x:v>200000</x:v>
      </x:c>
      <x:c r="H21" s="77" t="n">
        <x:f>G21/D21</x:f>
        <x:v>1333333.3333333335</x:v>
      </x:c>
      <x:c r="I21" s="75" t="n">
        <x:f>H21*E21</x:f>
        <x:v>133333.33333333334</x:v>
      </x:c>
      <x:c r="J21" s="75" t="n">
        <x:f>G21*$B$11</x:f>
        <x:v>5000</x:v>
      </x:c>
      <x:c r="K21" s="75" t="n">
        <x:f>G21*$D$11</x:f>
        <x:v>0</x:v>
      </x:c>
      <x:c r="L21" s="75" t="n">
        <x:f>(G21-K21)*F21</x:f>
        <x:v>16000</x:v>
      </x:c>
      <x:c r="M21" s="75" t="n">
        <x:f>G21-I21-J21-K21-L21</x:f>
        <x:v>45666.66666666666</x:v>
      </x:c>
      <x:c r="N21" s="79" t="n">
        <x:f>IF(G21=0,0,M21/G21)</x:f>
        <x:v>0.22833333333333328</x:v>
      </x:c>
    </x:row>
    <x:row r="22" ht="23" customHeight="1">
      <x:c r="A22" s="138" t="str">
        <x:v>ИТОГО</x:v>
      </x:c>
      <x:c r="B22" s="139" t="n">
        <x:f>SUM(B16:B21)</x:f>
        <x:v>8</x:v>
      </x:c>
      <x:c r="C22" s="140" t="n">
        <x:f>IF(B22=0,0,G22/B22)</x:f>
        <x:v>71375</x:v>
      </x:c>
      <x:c r="D22" s="141" t="n">
        <x:f>IF(H22=0,0,G22/H22)</x:f>
        <x:v>0.1990471763885661</x:v>
      </x:c>
      <x:c r="E22" s="141" t="n">
        <x:f>IF(H22=0,0,I22/H22)</x:f>
        <x:v>0.1267603997211248</x:v>
      </x:c>
      <x:c r="F22" s="142" t="n">
        <x:f>IF(G22=0,0,L22/G22)</x:f>
        <x:v>0.09308231173380035</x:v>
      </x:c>
      <x:c r="G22" s="140" t="n">
        <x:f>SUM(G16:G21)</x:f>
        <x:v>571000</x:v>
      </x:c>
      <x:c r="H22" s="139" t="n">
        <x:f>SUM(H16:H21)</x:f>
        <x:v>2868666.666666667</x:v>
      </x:c>
      <x:c r="I22" s="140" t="n">
        <x:f>SUM(I16:I21)</x:f>
        <x:v>363633.3333333334</x:v>
      </x:c>
      <x:c r="J22" s="140" t="n">
        <x:f>SUM(J16:J21)</x:f>
        <x:v>14275</x:v>
      </x:c>
      <x:c r="K22" s="140" t="n">
        <x:f>SUM(K16:K21)</x:f>
        <x:v>0</x:v>
      </x:c>
      <x:c r="L22" s="140" t="n">
        <x:f>SUM(L16:L21)</x:f>
        <x:v>53150</x:v>
      </x:c>
      <x:c r="M22" s="140" t="n">
        <x:f>SUM(M16:M21)</x:f>
        <x:v>139941.66666666666</x:v>
      </x:c>
      <x:c r="N22" s="142" t="n">
        <x:f>IF(G22=0,0,M22/G22)</x:f>
        <x:v>0.24508172796263863</x:v>
      </x:c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</x:row>
    <x:row r="24">
      <x:c r="A24" s="144" t="str">
        <x:v>Примечание: прибыль компании рассчитана до налогов и постоянных расходов. KPI вычитается из прибыли компании в верхнем итоговом блоке.</x:v>
      </x:c>
      <x:c r="B24" s="144"/>
      <x:c r="C24" s="144"/>
      <x:c r="D24" s="144"/>
      <x:c r="E24" s="144"/>
      <x:c r="F24" s="144"/>
      <x:c r="G24" s="144"/>
      <x:c r="H24" s="144"/>
      <x:c r="I24" s="144"/>
      <x:c r="J24" s="144"/>
      <x:c r="K24" s="144"/>
      <x:c r="L24" s="144"/>
      <x:c r="M24" s="144"/>
      <x:c r="N24" s="14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B82F6"/>
  </x:sheetPr>
  <x:sheetViews>
    <x:sheetView showGridLines="0" workbookViewId="0"/>
  </x:sheetViews>
  <x:sheetFormatPr defaultRowHeight="15"/>
  <x:cols>
    <x:col min="1" max="1" width="21" hidden="0" customWidth="1"/>
    <x:col min="2" max="2" width="17" hidden="0" customWidth="1"/>
    <x:col min="3" max="3" width="17" hidden="0" customWidth="1"/>
    <x:col min="4" max="4" width="22" hidden="0" customWidth="1"/>
    <x:col min="5" max="5" width="3" hidden="0" customWidth="1"/>
    <x:col min="6" max="6" width="25" hidden="0" customWidth="1"/>
    <x:col min="7" max="7" width="15" hidden="0" customWidth="1"/>
  </x:cols>
  <x:sheetData>
    <x:row r="1">
      <x:c r="A1" s="20"/>
      <x:c r="B1" s="20"/>
      <x:c r="C1" s="20"/>
      <x:c r="D1" s="20"/>
      <x:c r="E1" s="20"/>
      <x:c r="F1" s="20"/>
      <x:c r="G1" s="20"/>
    </x:row>
    <x:row r="2" ht="28" customHeight="1">
      <x:c r="A2" s="163" t="str">
        <x:v>Тарифы и правила KPI</x:v>
      </x:c>
      <x:c r="B2" s="163"/>
      <x:c r="C2" s="163"/>
      <x:c r="D2" s="163"/>
      <x:c r="E2" s="163"/>
      <x:c r="F2" s="163"/>
      <x:c r="G2" s="163"/>
    </x:row>
    <x:row r="3">
      <x:c r="A3" s="144" t="str">
        <x:v>Изменяйте жёлтые ячейки. Пороги тарифов и KPI должны идти по возрастанию.</x:v>
      </x:c>
      <x:c r="B3" s="144"/>
      <x:c r="C3" s="144"/>
      <x:c r="D3" s="144"/>
      <x:c r="E3" s="144"/>
      <x:c r="F3" s="144"/>
      <x:c r="G3" s="144"/>
    </x:row>
    <x:row r="4">
      <x:c r="A4" s="20"/>
      <x:c r="B4" s="20"/>
      <x:c r="C4" s="20"/>
      <x:c r="D4" s="20"/>
      <x:c r="E4" s="20"/>
      <x:c r="F4" s="20"/>
      <x:c r="G4" s="20"/>
    </x:row>
    <x:row r="5" ht="34" customHeight="1">
      <x:c r="A5" s="45" t="str">
        <x:v>Порог пополнения</x:v>
      </x:c>
      <x:c r="B5" s="46" t="str">
        <x:v>Цена клика</x:v>
      </x:c>
      <x:c r="C5" s="46" t="str">
        <x:v>Себестоимость клика</x:v>
      </x:c>
      <x:c r="D5" s="47" t="str">
        <x:v>Комиссия менеджера</x:v>
      </x:c>
      <x:c r="E5" s="20"/>
      <x:c r="F5" s="45" t="str">
        <x:v>Настройки KPI</x:v>
      </x:c>
      <x:c r="G5" s="47" t="str">
        <x:v>Значение</x:v>
      </x:c>
    </x:row>
    <x:row r="6" ht="23" customHeight="1">
      <x:c r="A6" s="154" t="n">
        <x:v>1000</x:v>
      </x:c>
      <x:c r="B6" s="155" t="n">
        <x:v>0.5</x:v>
      </x:c>
      <x:c r="C6" s="155" t="n">
        <x:v>0.15</x:v>
      </x:c>
      <x:c r="D6" s="156" t="n">
        <x:v>0.15</x:v>
      </x:c>
      <x:c r="E6" s="20"/>
      <x:c r="F6" s="48" t="str">
        <x:v>Минимум новых клиентов</x:v>
      </x:c>
      <x:c r="G6" s="157" t="n">
        <x:v>3</x:v>
      </x:c>
    </x:row>
    <x:row r="7" ht="23" customHeight="1">
      <x:c r="A7" s="158" t="n">
        <x:v>10000</x:v>
      </x:c>
      <x:c r="B7" s="159" t="n">
        <x:v>0.4</x:v>
      </x:c>
      <x:c r="C7" s="159" t="n">
        <x:v>0.15</x:v>
      </x:c>
      <x:c r="D7" s="160" t="n">
        <x:v>0.15</x:v>
      </x:c>
      <x:c r="E7" s="20"/>
      <x:c r="F7" s="49" t="str">
        <x:v>Порог удержания</x:v>
      </x:c>
      <x:c r="G7" s="161" t="n">
        <x:v>0.6</x:v>
      </x:c>
    </x:row>
    <x:row r="8" ht="23" customHeight="1">
      <x:c r="A8" s="158" t="n">
        <x:v>50000</x:v>
      </x:c>
      <x:c r="B8" s="159" t="n">
        <x:v>0.3</x:v>
      </x:c>
      <x:c r="C8" s="159" t="n">
        <x:v>0.15</x:v>
      </x:c>
      <x:c r="D8" s="160" t="n">
        <x:v>0.12</x:v>
      </x:c>
      <x:c r="E8" s="20"/>
      <x:c r="F8" s="49" t="str">
        <x:v>Вес оборота</x:v>
      </x:c>
      <x:c r="G8" s="161" t="n">
        <x:v>0.6</x:v>
      </x:c>
    </x:row>
    <x:row r="9" ht="23" customHeight="1">
      <x:c r="A9" s="158" t="n">
        <x:v>100000</x:v>
      </x:c>
      <x:c r="B9" s="159" t="n">
        <x:v>0.25</x:v>
      </x:c>
      <x:c r="C9" s="159" t="n">
        <x:v>0.15</x:v>
      </x:c>
      <x:c r="D9" s="160" t="n">
        <x:v>0.1</x:v>
      </x:c>
      <x:c r="E9" s="20"/>
      <x:c r="F9" s="49" t="str">
        <x:v>Вес новых клиентов</x:v>
      </x:c>
      <x:c r="G9" s="161" t="n">
        <x:v>0.2</x:v>
      </x:c>
    </x:row>
    <x:row r="10" ht="23" customHeight="1">
      <x:c r="A10" s="158" t="n">
        <x:v>150000</x:v>
      </x:c>
      <x:c r="B10" s="159" t="n">
        <x:v>0.2</x:v>
      </x:c>
      <x:c r="C10" s="159" t="n">
        <x:v>0.15</x:v>
      </x:c>
      <x:c r="D10" s="160" t="n">
        <x:v>0.08</x:v>
      </x:c>
      <x:c r="E10" s="20"/>
      <x:c r="F10" s="49" t="str">
        <x:v>Вес удержания</x:v>
      </x:c>
      <x:c r="G10" s="161" t="n">
        <x:v>0.2</x:v>
      </x:c>
    </x:row>
    <x:row r="11" ht="23" customHeight="1">
      <x:c r="A11" s="158" t="n">
        <x:v>200000</x:v>
      </x:c>
      <x:c r="B11" s="159" t="n">
        <x:v>0.15</x:v>
      </x:c>
      <x:c r="C11" s="159" t="n">
        <x:v>0.1</x:v>
      </x:c>
      <x:c r="D11" s="160" t="n">
        <x:v>0.08</x:v>
      </x:c>
      <x:c r="E11" s="20"/>
      <x:c r="F11" s="49" t="str">
        <x:v>Сумма весов</x:v>
      </x:c>
      <x:c r="G11" s="162" t="n">
        <x:f>SUM(G8:G10)</x:f>
        <x:v>1</x:v>
      </x:c>
    </x:row>
    <x:row r="12" ht="23" customHeight="1">
      <x:c r="A12" s="20"/>
      <x:c r="B12" s="20"/>
      <x:c r="C12" s="20"/>
      <x:c r="D12" s="20"/>
      <x:c r="E12" s="20"/>
      <x:c r="F12" s="20"/>
      <x:c r="G12" s="20"/>
    </x:row>
    <x:row r="13" ht="23" customHeight="1">
      <x:c r="A13" s="20"/>
      <x:c r="B13" s="20"/>
      <x:c r="C13" s="20"/>
      <x:c r="D13" s="20"/>
      <x:c r="E13" s="20"/>
      <x:c r="F13" s="20"/>
      <x:c r="G13" s="20"/>
    </x:row>
    <x:row r="14" ht="23" customHeight="1">
      <x:c r="A14" s="151" t="str">
        <x:v>Шкала месячного KPI</x:v>
      </x:c>
      <x:c r="B14" s="152"/>
      <x:c r="C14" s="152"/>
      <x:c r="D14" s="152"/>
      <x:c r="E14" s="152"/>
      <x:c r="F14" s="152"/>
      <x:c r="G14" s="153"/>
    </x:row>
    <x:row r="15" ht="23" customHeight="1">
      <x:c r="A15" s="45" t="str">
        <x:v>Оборот от</x:v>
      </x:c>
      <x:c r="B15" s="47" t="str">
        <x:v>Базовый KPI</x:v>
      </x:c>
      <x:c r="C15" s="20"/>
      <x:c r="D15" s="151" t="str">
        <x:v>Как рассчитывается KPI</x:v>
      </x:c>
      <x:c r="E15" s="152"/>
      <x:c r="F15" s="152"/>
      <x:c r="G15" s="153"/>
    </x:row>
    <x:row r="16" ht="23" customHeight="1">
      <x:c r="A16" s="154" t="n">
        <x:v>0</x:v>
      </x:c>
      <x:c r="B16" s="131" t="n">
        <x:v>0</x:v>
      </x:c>
      <x:c r="C16" s="20"/>
      <x:c r="D16" s="20" t="str">
        <x:v>Базовый KPI определяется по месячному обороту.</x:v>
      </x:c>
      <x:c r="E16" s="20"/>
      <x:c r="F16" s="20"/>
      <x:c r="G16" s="20"/>
    </x:row>
    <x:row r="17" ht="23" customHeight="1">
      <x:c r="A17" s="158" t="n">
        <x:v>300000</x:v>
      </x:c>
      <x:c r="B17" s="134" t="n">
        <x:v>5000</x:v>
      </x:c>
      <x:c r="C17" s="20"/>
      <x:c r="D17" s="20"/>
      <x:c r="E17" s="20"/>
      <x:c r="F17" s="20"/>
      <x:c r="G17" s="20"/>
    </x:row>
    <x:row r="18" ht="23" customHeight="1">
      <x:c r="A18" s="158" t="n">
        <x:v>500000</x:v>
      </x:c>
      <x:c r="B18" s="134" t="n">
        <x:v>10000</x:v>
      </x:c>
      <x:c r="C18" s="20"/>
      <x:c r="D18" s="20" t="str">
        <x:v>60% базового KPI начисляется за оборот.</x:v>
      </x:c>
      <x:c r="E18" s="20"/>
      <x:c r="F18" s="20"/>
      <x:c r="G18" s="20"/>
    </x:row>
    <x:row r="19" ht="23" customHeight="1">
      <x:c r="A19" s="158" t="n">
        <x:v>750000</x:v>
      </x:c>
      <x:c r="B19" s="134" t="n">
        <x:v>15000</x:v>
      </x:c>
      <x:c r="C19" s="20"/>
      <x:c r="D19" s="20"/>
      <x:c r="E19" s="20"/>
      <x:c r="F19" s="20"/>
      <x:c r="G19" s="20"/>
    </x:row>
    <x:row r="20" ht="23" customHeight="1">
      <x:c r="A20" s="158" t="n">
        <x:v>1000000</x:v>
      </x:c>
      <x:c r="B20" s="134" t="n">
        <x:v>25000</x:v>
      </x:c>
      <x:c r="C20" s="20"/>
      <x:c r="D20" s="20" t="str">
        <x:v>20% начисляется при выполнении минимума новых клиентов.</x:v>
      </x:c>
      <x:c r="E20" s="20"/>
      <x:c r="F20" s="20"/>
      <x:c r="G20" s="20"/>
    </x:row>
    <x:row r="21" ht="23" customHeight="1">
      <x:c r="A21" s="158" t="n">
        <x:v>1500000</x:v>
      </x:c>
      <x:c r="B21" s="134" t="n">
        <x:v>40000</x:v>
      </x:c>
      <x:c r="C21" s="20"/>
      <x:c r="D21" s="20"/>
      <x:c r="E21" s="20"/>
      <x:c r="F21" s="20"/>
      <x:c r="G21" s="20"/>
    </x:row>
    <x:row r="22" ht="23" customHeight="1">
      <x:c r="A22" s="158" t="n">
        <x:v>2000000</x:v>
      </x:c>
      <x:c r="B22" s="134" t="n">
        <x:v>60000</x:v>
      </x:c>
      <x:c r="C22" s="20"/>
      <x:c r="D22" s="20" t="str">
        <x:v>20% начисляется при достижении порога удержания.</x:v>
      </x:c>
      <x:c r="E22" s="20"/>
      <x:c r="F22" s="20"/>
      <x:c r="G22" s="20"/>
    </x:row>
    <x:row r="23" ht="23" customHeight="1">
      <x:c r="A23" s="158" t="n">
        <x:v>3000000</x:v>
      </x:c>
      <x:c r="B23" s="134" t="n">
        <x:v>90000</x:v>
      </x:c>
      <x:c r="C23" s="20"/>
      <x:c r="D23" s="20"/>
      <x:c r="E23" s="20"/>
      <x:c r="F23" s="20"/>
      <x:c r="G23" s="20"/>
    </x:row>
    <x:row r="24" ht="23" customHeight="1">
      <x:c r="A24" s="158" t="n">
        <x:v>5000000</x:v>
      </x:c>
      <x:c r="B24" s="134" t="n">
        <x:v>150000</x:v>
      </x:c>
      <x:c r="C24" s="20"/>
      <x:c r="D24" s="20" t="str">
        <x:v>Бонусы по шкале не суммируются.</x:v>
      </x:c>
      <x:c r="E24" s="20"/>
      <x:c r="F24" s="20"/>
      <x:c r="G24" s="20"/>
    </x:row>
  </x:sheetData>
  <x:pageMargins left="0.7" right="0.7" top="0.75" bottom="0.75" header="0.3" footer="0.3"/>
</x:worksheet>
</file>